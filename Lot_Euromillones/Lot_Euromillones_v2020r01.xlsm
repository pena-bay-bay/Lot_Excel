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fuentes\Lot_Excel\Lot_Euromillones\"/>
    </mc:Choice>
  </mc:AlternateContent>
  <xr:revisionPtr revIDLastSave="0" documentId="13_ncr:1_{F6BC1FB3-AB5F-46D9-B04D-B28144F4B6B9}" xr6:coauthVersionLast="40" xr6:coauthVersionMax="40" xr10:uidLastSave="{00000000-0000-0000-0000-000000000000}"/>
  <bookViews>
    <workbookView xWindow="0" yWindow="0" windowWidth="22260" windowHeight="12645" activeTab="3" xr2:uid="{00000000-000D-0000-FFFF-FFFF00000000}"/>
  </bookViews>
  <sheets>
    <sheet name="Resultados" sheetId="1" r:id="rId1"/>
    <sheet name="Boletos" sheetId="2" r:id="rId2"/>
    <sheet name="Apuestas" sheetId="3" r:id="rId3"/>
    <sheet name="MisApuestas" sheetId="4" r:id="rId4"/>
    <sheet name="Salida" sheetId="5" r:id="rId5"/>
    <sheet name="Metodos" sheetId="6" r:id="rId6"/>
  </sheets>
  <functionGroups builtInGroupCount="19"/>
  <definedNames>
    <definedName name="_xlnm._FilterDatabase" localSheetId="2" hidden="1">Apuestas!$A$1:$V$1</definedName>
    <definedName name="_xlnm._FilterDatabase" localSheetId="1" hidden="1">Boletos!$A$1:$O$1</definedName>
    <definedName name="_xlnm._FilterDatabase" localSheetId="3" hidden="1">MisApuestas!$A$2:$P$67</definedName>
    <definedName name="_xlnm._FilterDatabase" localSheetId="4" hidden="1">Salida!$A$9:$T$63</definedName>
    <definedName name="_par3">#REF!</definedName>
    <definedName name="_par4">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7" i="3" l="1"/>
  <c r="E38" i="3"/>
  <c r="E39" i="3"/>
  <c r="E40" i="3"/>
  <c r="E41" i="3"/>
  <c r="E42" i="3"/>
  <c r="E43" i="3"/>
  <c r="E44" i="3"/>
  <c r="E45" i="3"/>
  <c r="E46" i="3"/>
  <c r="E47" i="3"/>
  <c r="E48" i="3"/>
  <c r="K35" i="2"/>
  <c r="K36" i="2"/>
  <c r="K37" i="2"/>
  <c r="K38" i="2"/>
  <c r="K39" i="2"/>
  <c r="K40" i="2"/>
  <c r="K41" i="2"/>
  <c r="K42" i="2"/>
  <c r="K43" i="2"/>
  <c r="K44" i="2"/>
  <c r="K45" i="2"/>
  <c r="K46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K47" i="2"/>
  <c r="K48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E570" i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D562" i="1" l="1"/>
  <c r="E562" i="1"/>
  <c r="D557" i="1"/>
  <c r="D558" i="1"/>
  <c r="D559" i="1"/>
  <c r="D560" i="1"/>
  <c r="D561" i="1"/>
  <c r="E557" i="1"/>
  <c r="E558" i="1"/>
  <c r="E559" i="1"/>
  <c r="E560" i="1"/>
  <c r="E561" i="1"/>
  <c r="E35" i="3" l="1"/>
  <c r="E36" i="3"/>
  <c r="D547" i="1"/>
  <c r="E547" i="1"/>
  <c r="D548" i="1"/>
  <c r="E548" i="1"/>
  <c r="D549" i="1"/>
  <c r="E549" i="1"/>
  <c r="D550" i="1"/>
  <c r="E550" i="1"/>
  <c r="D551" i="1"/>
  <c r="E551" i="1"/>
  <c r="D552" i="1"/>
  <c r="E552" i="1"/>
  <c r="D553" i="1"/>
  <c r="E553" i="1"/>
  <c r="D554" i="1"/>
  <c r="E554" i="1"/>
  <c r="D555" i="1"/>
  <c r="E555" i="1"/>
  <c r="D556" i="1"/>
  <c r="E556" i="1"/>
  <c r="E3" i="3" l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K2" i="2" l="1"/>
  <c r="C462" i="1" l="1"/>
  <c r="C464" i="1" s="1"/>
  <c r="C461" i="1"/>
  <c r="C463" i="1" s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C380" i="1"/>
  <c r="D380" i="1" s="1"/>
  <c r="C379" i="1"/>
  <c r="C381" i="1" s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C358" i="1"/>
  <c r="D358" i="1" s="1"/>
  <c r="C357" i="1"/>
  <c r="C359" i="1" s="1"/>
  <c r="E359" i="1" s="1"/>
  <c r="E356" i="1"/>
  <c r="D356" i="1"/>
  <c r="E355" i="1"/>
  <c r="D355" i="1"/>
  <c r="C312" i="1"/>
  <c r="C314" i="1" s="1"/>
  <c r="C311" i="1"/>
  <c r="C313" i="1" s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E4" i="1"/>
  <c r="D4" i="1"/>
  <c r="E3" i="1"/>
  <c r="D3" i="1"/>
  <c r="E2" i="1"/>
  <c r="D2" i="1"/>
  <c r="C360" i="1" l="1"/>
  <c r="D360" i="1" s="1"/>
  <c r="D461" i="1"/>
  <c r="D312" i="1"/>
  <c r="E358" i="1"/>
  <c r="D357" i="1"/>
  <c r="D379" i="1"/>
  <c r="C315" i="1"/>
  <c r="E313" i="1"/>
  <c r="D313" i="1"/>
  <c r="C316" i="1"/>
  <c r="E314" i="1"/>
  <c r="D314" i="1"/>
  <c r="D311" i="1"/>
  <c r="E312" i="1"/>
  <c r="E311" i="1"/>
  <c r="E360" i="1"/>
  <c r="E380" i="1"/>
  <c r="C466" i="1"/>
  <c r="E464" i="1"/>
  <c r="D464" i="1"/>
  <c r="C383" i="1"/>
  <c r="E381" i="1"/>
  <c r="D381" i="1"/>
  <c r="D359" i="1"/>
  <c r="C382" i="1"/>
  <c r="D463" i="1"/>
  <c r="C465" i="1"/>
  <c r="E463" i="1"/>
  <c r="D462" i="1"/>
  <c r="E462" i="1"/>
  <c r="E357" i="1"/>
  <c r="E379" i="1"/>
  <c r="E461" i="1"/>
  <c r="E2" i="3"/>
  <c r="O2" i="2"/>
  <c r="B2" i="2"/>
  <c r="C468" i="1" l="1"/>
  <c r="E466" i="1"/>
  <c r="D466" i="1"/>
  <c r="D316" i="1"/>
  <c r="C318" i="1"/>
  <c r="E316" i="1"/>
  <c r="D382" i="1"/>
  <c r="C384" i="1"/>
  <c r="E382" i="1"/>
  <c r="C385" i="1"/>
  <c r="E383" i="1"/>
  <c r="D383" i="1"/>
  <c r="C467" i="1"/>
  <c r="E465" i="1"/>
  <c r="D465" i="1"/>
  <c r="C317" i="1"/>
  <c r="E315" i="1"/>
  <c r="D315" i="1"/>
  <c r="C319" i="1" l="1"/>
  <c r="E317" i="1"/>
  <c r="D317" i="1"/>
  <c r="D384" i="1"/>
  <c r="E384" i="1"/>
  <c r="C386" i="1"/>
  <c r="C387" i="1"/>
  <c r="E385" i="1"/>
  <c r="D385" i="1"/>
  <c r="D467" i="1"/>
  <c r="C469" i="1"/>
  <c r="E467" i="1"/>
  <c r="C320" i="1"/>
  <c r="E318" i="1"/>
  <c r="D318" i="1"/>
  <c r="C470" i="1"/>
  <c r="E468" i="1"/>
  <c r="D468" i="1"/>
  <c r="C472" i="1" l="1"/>
  <c r="E470" i="1"/>
  <c r="D470" i="1"/>
  <c r="C471" i="1"/>
  <c r="E469" i="1"/>
  <c r="D469" i="1"/>
  <c r="C389" i="1"/>
  <c r="E387" i="1"/>
  <c r="D387" i="1"/>
  <c r="D386" i="1"/>
  <c r="E386" i="1"/>
  <c r="C388" i="1"/>
  <c r="D320" i="1"/>
  <c r="C322" i="1"/>
  <c r="E320" i="1"/>
  <c r="C321" i="1"/>
  <c r="E319" i="1"/>
  <c r="D319" i="1"/>
  <c r="C323" i="1" l="1"/>
  <c r="E321" i="1"/>
  <c r="D321" i="1"/>
  <c r="D388" i="1"/>
  <c r="C390" i="1"/>
  <c r="E388" i="1"/>
  <c r="D471" i="1"/>
  <c r="C473" i="1"/>
  <c r="E471" i="1"/>
  <c r="C391" i="1"/>
  <c r="E389" i="1"/>
  <c r="D389" i="1"/>
  <c r="C324" i="1"/>
  <c r="E322" i="1"/>
  <c r="D322" i="1"/>
  <c r="C474" i="1"/>
  <c r="E472" i="1"/>
  <c r="D472" i="1"/>
  <c r="C476" i="1" l="1"/>
  <c r="E474" i="1"/>
  <c r="D474" i="1"/>
  <c r="C475" i="1"/>
  <c r="E473" i="1"/>
  <c r="D473" i="1"/>
  <c r="C393" i="1"/>
  <c r="E391" i="1"/>
  <c r="D391" i="1"/>
  <c r="D324" i="1"/>
  <c r="C326" i="1"/>
  <c r="E324" i="1"/>
  <c r="D390" i="1"/>
  <c r="C392" i="1"/>
  <c r="E390" i="1"/>
  <c r="C325" i="1"/>
  <c r="E323" i="1"/>
  <c r="D323" i="1"/>
  <c r="C327" i="1" l="1"/>
  <c r="E325" i="1"/>
  <c r="D325" i="1"/>
  <c r="D475" i="1"/>
  <c r="C477" i="1"/>
  <c r="E475" i="1"/>
  <c r="C328" i="1"/>
  <c r="E326" i="1"/>
  <c r="D326" i="1"/>
  <c r="E393" i="1"/>
  <c r="D393" i="1"/>
  <c r="D392" i="1"/>
  <c r="E392" i="1"/>
  <c r="C394" i="1"/>
  <c r="C478" i="1"/>
  <c r="E476" i="1"/>
  <c r="D476" i="1"/>
  <c r="C480" i="1" l="1"/>
  <c r="E478" i="1"/>
  <c r="D478" i="1"/>
  <c r="D328" i="1"/>
  <c r="C330" i="1"/>
  <c r="E328" i="1"/>
  <c r="D394" i="1"/>
  <c r="E394" i="1"/>
  <c r="C479" i="1"/>
  <c r="E477" i="1"/>
  <c r="D477" i="1"/>
  <c r="C329" i="1"/>
  <c r="E327" i="1"/>
  <c r="D327" i="1"/>
  <c r="C331" i="1" l="1"/>
  <c r="E329" i="1"/>
  <c r="D329" i="1"/>
  <c r="D479" i="1"/>
  <c r="C481" i="1"/>
  <c r="E479" i="1"/>
  <c r="C332" i="1"/>
  <c r="E330" i="1"/>
  <c r="D330" i="1"/>
  <c r="C482" i="1"/>
  <c r="E480" i="1"/>
  <c r="D480" i="1"/>
  <c r="D332" i="1" l="1"/>
  <c r="C334" i="1"/>
  <c r="E332" i="1"/>
  <c r="C484" i="1"/>
  <c r="E482" i="1"/>
  <c r="D482" i="1"/>
  <c r="C483" i="1"/>
  <c r="E481" i="1"/>
  <c r="D481" i="1"/>
  <c r="C333" i="1"/>
  <c r="E331" i="1"/>
  <c r="D331" i="1"/>
  <c r="C486" i="1" l="1"/>
  <c r="E484" i="1"/>
  <c r="D484" i="1"/>
  <c r="D483" i="1"/>
  <c r="C485" i="1"/>
  <c r="E483" i="1"/>
  <c r="C335" i="1"/>
  <c r="E333" i="1"/>
  <c r="D333" i="1"/>
  <c r="C336" i="1"/>
  <c r="E334" i="1"/>
  <c r="D334" i="1"/>
  <c r="C337" i="1" l="1"/>
  <c r="E335" i="1"/>
  <c r="D335" i="1"/>
  <c r="D336" i="1"/>
  <c r="C338" i="1"/>
  <c r="E336" i="1"/>
  <c r="C487" i="1"/>
  <c r="E485" i="1"/>
  <c r="D485" i="1"/>
  <c r="C488" i="1"/>
  <c r="E486" i="1"/>
  <c r="D486" i="1"/>
  <c r="D487" i="1" l="1"/>
  <c r="C489" i="1"/>
  <c r="E487" i="1"/>
  <c r="C490" i="1"/>
  <c r="E488" i="1"/>
  <c r="D488" i="1"/>
  <c r="C340" i="1"/>
  <c r="E338" i="1"/>
  <c r="D338" i="1"/>
  <c r="C339" i="1"/>
  <c r="E337" i="1"/>
  <c r="D337" i="1"/>
  <c r="C492" i="1" l="1"/>
  <c r="E490" i="1"/>
  <c r="D490" i="1"/>
  <c r="D340" i="1"/>
  <c r="C342" i="1"/>
  <c r="E340" i="1"/>
  <c r="C341" i="1"/>
  <c r="E339" i="1"/>
  <c r="D339" i="1"/>
  <c r="C491" i="1"/>
  <c r="E489" i="1"/>
  <c r="D489" i="1"/>
  <c r="C343" i="1" l="1"/>
  <c r="E341" i="1"/>
  <c r="D341" i="1"/>
  <c r="D491" i="1"/>
  <c r="C493" i="1"/>
  <c r="E491" i="1"/>
  <c r="C344" i="1"/>
  <c r="E342" i="1"/>
  <c r="D342" i="1"/>
  <c r="C494" i="1"/>
  <c r="E492" i="1"/>
  <c r="D492" i="1"/>
  <c r="D344" i="1" l="1"/>
  <c r="C346" i="1"/>
  <c r="E344" i="1"/>
  <c r="C496" i="1"/>
  <c r="E494" i="1"/>
  <c r="D494" i="1"/>
  <c r="C495" i="1"/>
  <c r="E493" i="1"/>
  <c r="D493" i="1"/>
  <c r="C345" i="1"/>
  <c r="E343" i="1"/>
  <c r="D343" i="1"/>
  <c r="C498" i="1" l="1"/>
  <c r="E496" i="1"/>
  <c r="D496" i="1"/>
  <c r="D495" i="1"/>
  <c r="C497" i="1"/>
  <c r="E495" i="1"/>
  <c r="E346" i="1"/>
  <c r="D346" i="1"/>
  <c r="C348" i="1"/>
  <c r="C347" i="1"/>
  <c r="E345" i="1"/>
  <c r="D345" i="1"/>
  <c r="C349" i="1" l="1"/>
  <c r="E347" i="1"/>
  <c r="D347" i="1"/>
  <c r="D348" i="1"/>
  <c r="C350" i="1"/>
  <c r="E348" i="1"/>
  <c r="C499" i="1"/>
  <c r="E497" i="1"/>
  <c r="D497" i="1"/>
  <c r="C500" i="1"/>
  <c r="E498" i="1"/>
  <c r="D498" i="1"/>
  <c r="D499" i="1" l="1"/>
  <c r="C501" i="1"/>
  <c r="E499" i="1"/>
  <c r="C502" i="1"/>
  <c r="E500" i="1"/>
  <c r="D500" i="1"/>
  <c r="D350" i="1"/>
  <c r="C352" i="1"/>
  <c r="E350" i="1"/>
  <c r="C351" i="1"/>
  <c r="E349" i="1"/>
  <c r="D349" i="1"/>
  <c r="D352" i="1" l="1"/>
  <c r="E352" i="1"/>
  <c r="C354" i="1"/>
  <c r="C504" i="1"/>
  <c r="E502" i="1"/>
  <c r="D502" i="1"/>
  <c r="C353" i="1"/>
  <c r="E351" i="1"/>
  <c r="D351" i="1"/>
  <c r="C503" i="1"/>
  <c r="E501" i="1"/>
  <c r="D501" i="1"/>
  <c r="D503" i="1" l="1"/>
  <c r="C505" i="1"/>
  <c r="E503" i="1"/>
  <c r="C506" i="1"/>
  <c r="E504" i="1"/>
  <c r="D504" i="1"/>
  <c r="E353" i="1"/>
  <c r="D353" i="1"/>
  <c r="D354" i="1"/>
  <c r="E354" i="1"/>
  <c r="C508" i="1" l="1"/>
  <c r="E506" i="1"/>
  <c r="D506" i="1"/>
  <c r="C507" i="1"/>
  <c r="E505" i="1"/>
  <c r="D505" i="1"/>
  <c r="D507" i="1" l="1"/>
  <c r="C509" i="1"/>
  <c r="E507" i="1"/>
  <c r="C510" i="1"/>
  <c r="E508" i="1"/>
  <c r="D508" i="1"/>
  <c r="C512" i="1" l="1"/>
  <c r="E510" i="1"/>
  <c r="D510" i="1"/>
  <c r="C511" i="1"/>
  <c r="E509" i="1"/>
  <c r="D509" i="1"/>
  <c r="D511" i="1" l="1"/>
  <c r="C513" i="1"/>
  <c r="E511" i="1"/>
  <c r="C514" i="1"/>
  <c r="E512" i="1"/>
  <c r="D512" i="1"/>
  <c r="C516" i="1" l="1"/>
  <c r="E514" i="1"/>
  <c r="D514" i="1"/>
  <c r="C515" i="1"/>
  <c r="E513" i="1"/>
  <c r="D513" i="1"/>
  <c r="D515" i="1" l="1"/>
  <c r="C517" i="1"/>
  <c r="E515" i="1"/>
  <c r="C518" i="1"/>
  <c r="E516" i="1"/>
  <c r="D516" i="1"/>
  <c r="C520" i="1" l="1"/>
  <c r="E518" i="1"/>
  <c r="D518" i="1"/>
  <c r="C519" i="1"/>
  <c r="E517" i="1"/>
  <c r="D517" i="1"/>
  <c r="D519" i="1" l="1"/>
  <c r="C521" i="1"/>
  <c r="E519" i="1"/>
  <c r="C522" i="1"/>
  <c r="E520" i="1"/>
  <c r="D520" i="1"/>
  <c r="C524" i="1" l="1"/>
  <c r="E522" i="1"/>
  <c r="D522" i="1"/>
  <c r="C523" i="1"/>
  <c r="E521" i="1"/>
  <c r="D521" i="1"/>
  <c r="D523" i="1" l="1"/>
  <c r="C525" i="1"/>
  <c r="E523" i="1"/>
  <c r="C526" i="1"/>
  <c r="E524" i="1"/>
  <c r="D524" i="1"/>
  <c r="C528" i="1" l="1"/>
  <c r="E526" i="1"/>
  <c r="D526" i="1"/>
  <c r="C527" i="1"/>
  <c r="E525" i="1"/>
  <c r="D525" i="1"/>
  <c r="D527" i="1" l="1"/>
  <c r="C529" i="1"/>
  <c r="E527" i="1"/>
  <c r="C530" i="1"/>
  <c r="E528" i="1"/>
  <c r="D528" i="1"/>
  <c r="C532" i="1" l="1"/>
  <c r="E530" i="1"/>
  <c r="D530" i="1"/>
  <c r="C531" i="1"/>
  <c r="E529" i="1"/>
  <c r="D529" i="1"/>
  <c r="D531" i="1" l="1"/>
  <c r="C533" i="1"/>
  <c r="E531" i="1"/>
  <c r="C534" i="1"/>
  <c r="E532" i="1"/>
  <c r="D532" i="1"/>
  <c r="C536" i="1" l="1"/>
  <c r="E534" i="1"/>
  <c r="D534" i="1"/>
  <c r="C535" i="1"/>
  <c r="E533" i="1"/>
  <c r="D533" i="1"/>
  <c r="D535" i="1" l="1"/>
  <c r="C537" i="1"/>
  <c r="E535" i="1"/>
  <c r="C538" i="1"/>
  <c r="E536" i="1"/>
  <c r="D536" i="1"/>
  <c r="C540" i="1" l="1"/>
  <c r="E538" i="1"/>
  <c r="D538" i="1"/>
  <c r="C539" i="1"/>
  <c r="E537" i="1"/>
  <c r="D537" i="1"/>
  <c r="D539" i="1" l="1"/>
  <c r="C541" i="1"/>
  <c r="E539" i="1"/>
  <c r="C542" i="1"/>
  <c r="E540" i="1"/>
  <c r="D540" i="1"/>
  <c r="C544" i="1" l="1"/>
  <c r="E542" i="1"/>
  <c r="D542" i="1"/>
  <c r="C543" i="1"/>
  <c r="E541" i="1"/>
  <c r="D541" i="1"/>
  <c r="D543" i="1" l="1"/>
  <c r="C545" i="1"/>
  <c r="E543" i="1"/>
  <c r="C546" i="1"/>
  <c r="E544" i="1"/>
  <c r="D544" i="1"/>
  <c r="D546" i="1" l="1"/>
  <c r="E546" i="1"/>
  <c r="E545" i="1"/>
  <c r="D545" i="1"/>
</calcChain>
</file>

<file path=xl/sharedStrings.xml><?xml version="1.0" encoding="utf-8"?>
<sst xmlns="http://schemas.openxmlformats.org/spreadsheetml/2006/main" count="1812" uniqueCount="984">
  <si>
    <t>N</t>
  </si>
  <si>
    <t>Fecha</t>
  </si>
  <si>
    <t>Dia</t>
  </si>
  <si>
    <t>Sem</t>
  </si>
  <si>
    <t>N1</t>
  </si>
  <si>
    <t>N2</t>
  </si>
  <si>
    <t>N3</t>
  </si>
  <si>
    <t>N4</t>
  </si>
  <si>
    <t>N5</t>
  </si>
  <si>
    <t>Id</t>
  </si>
  <si>
    <t>Juego</t>
  </si>
  <si>
    <t>Fecha Hasta</t>
  </si>
  <si>
    <t>Semanal</t>
  </si>
  <si>
    <t>Reintegro</t>
  </si>
  <si>
    <t>Apuestas</t>
  </si>
  <si>
    <t>Coste</t>
  </si>
  <si>
    <t>Premios</t>
  </si>
  <si>
    <t>Reintegros</t>
  </si>
  <si>
    <t>Notas</t>
  </si>
  <si>
    <t>idBoleto</t>
  </si>
  <si>
    <t>Semana</t>
  </si>
  <si>
    <t>N6</t>
  </si>
  <si>
    <t>N7</t>
  </si>
  <si>
    <t>N8</t>
  </si>
  <si>
    <t>N9</t>
  </si>
  <si>
    <t>Aciertos</t>
  </si>
  <si>
    <t>Metodo</t>
  </si>
  <si>
    <t>Premio</t>
  </si>
  <si>
    <t>Acierto</t>
  </si>
  <si>
    <t>Dias</t>
  </si>
  <si>
    <t>Comentario</t>
  </si>
  <si>
    <t>N10</t>
  </si>
  <si>
    <t>N11</t>
  </si>
  <si>
    <t>_</t>
  </si>
  <si>
    <t>Costes</t>
  </si>
  <si>
    <t>Puntuacion</t>
  </si>
  <si>
    <t>Prob Proxima a Media</t>
  </si>
  <si>
    <t>Proxima Fecha Salida</t>
  </si>
  <si>
    <t>Tiempos Medios Próximos a Media</t>
  </si>
  <si>
    <t>Frecuencias Próximas a Media</t>
  </si>
  <si>
    <t xml:space="preserve">Prob Proxima a Media 7 by 7 </t>
  </si>
  <si>
    <t>#2 Estadistico Prob.Tiempo Medio(D) Registros(90)</t>
  </si>
  <si>
    <t>Próxima fecha</t>
  </si>
  <si>
    <t>#3 Estadistico Ausencia(D) Registros(60)</t>
  </si>
  <si>
    <t>#4 Estadistico Frecuencia(D) Dias(42) Filtros((1)Paridad:[2/4,3/3])</t>
  </si>
  <si>
    <t>#8 Estadistico Prob.Tiempo Medio(D) Dias(45)</t>
  </si>
  <si>
    <t>#10 Estadistico Prob.Tiempo Medio(A) Registros(56)</t>
  </si>
  <si>
    <t>#1 Estadistico Probabilidad(D) Registros(90)</t>
  </si>
  <si>
    <t>#5 Bombo Cargado Probabilidad(D) Registros(15)</t>
  </si>
  <si>
    <t>#6 Aleatorio Filtros((1)Paridad:[3/3])</t>
  </si>
  <si>
    <t>#7 Aleatorio Filtros((2)Peso:[3/4])</t>
  </si>
  <si>
    <t>#9 Bombo Filtros((2)Peso:[3/3])</t>
  </si>
  <si>
    <t>#11 Bombo</t>
  </si>
  <si>
    <t>#12 Bombo Cargado Ausencia(D) Dias(35)</t>
  </si>
  <si>
    <t>#4 Estadistico Frecuencia(D) Dias(42)</t>
  </si>
  <si>
    <t>TipoProcedimiento</t>
  </si>
  <si>
    <t>Pronosticos</t>
  </si>
  <si>
    <t>ModalidadJuego</t>
  </si>
  <si>
    <t>CriterioOrdenacion</t>
  </si>
  <si>
    <t>SentidoOrdenacion</t>
  </si>
  <si>
    <t>CriterioAgrupacion</t>
  </si>
  <si>
    <t>TipoMuestra</t>
  </si>
  <si>
    <t>NumeroSorteos</t>
  </si>
  <si>
    <t>DiasAnalisis</t>
  </si>
  <si>
    <t>FiltrosCombinacion</t>
  </si>
  <si>
    <t>FechaAlta</t>
  </si>
  <si>
    <t>FechaModificacion</t>
  </si>
  <si>
    <t>(1)Paridad:[3/3]</t>
  </si>
  <si>
    <t>(2)Peso:[3/4]</t>
  </si>
  <si>
    <t>(2)Peso:[3/3]</t>
  </si>
  <si>
    <t>Sorteo</t>
  </si>
  <si>
    <t>Orden</t>
  </si>
  <si>
    <t>E1</t>
  </si>
  <si>
    <t>E2</t>
  </si>
  <si>
    <t>ElMillon</t>
  </si>
  <si>
    <t>2015/001</t>
  </si>
  <si>
    <t>Si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</si>
  <si>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</si>
  <si>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</si>
  <si>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</si>
  <si>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</si>
  <si>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</si>
  <si>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</si>
  <si>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</si>
  <si>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</si>
  <si>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</si>
  <si>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</si>
  <si>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</si>
  <si>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</si>
  <si>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</si>
  <si>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</si>
  <si>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</si>
  <si>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</si>
  <si>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</si>
  <si>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</si>
  <si>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</si>
  <si>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</si>
  <si>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</si>
  <si>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</si>
  <si>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</si>
  <si>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</si>
  <si>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</si>
  <si>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</si>
  <si>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</si>
  <si>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</si>
  <si>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</si>
  <si>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</si>
  <si>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</si>
  <si>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</si>
  <si>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</si>
  <si>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</si>
  <si>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</si>
  <si>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</si>
  <si>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</si>
  <si>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</si>
  <si>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</si>
  <si>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</si>
  <si>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</si>
  <si>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</si>
  <si>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</si>
  <si>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</si>
  <si>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</si>
  <si>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</si>
  <si>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</si>
  <si>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</si>
  <si>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</si>
  <si>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</si>
  <si>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</si>
  <si>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2015/053</t>
  </si>
  <si>
    <t>2015/054</t>
  </si>
  <si>
    <t>2015/055</t>
  </si>
  <si>
    <t>2015/056</t>
  </si>
  <si>
    <t>2015/057</t>
  </si>
  <si>
    <t>2015/058</t>
  </si>
  <si>
    <t>2015/059</t>
  </si>
  <si>
    <t>2015/060</t>
  </si>
  <si>
    <t>2015/061</t>
  </si>
  <si>
    <t>2015/062</t>
  </si>
  <si>
    <t>2015/063</t>
  </si>
  <si>
    <t>2015/064</t>
  </si>
  <si>
    <t>2015/065</t>
  </si>
  <si>
    <t>2015/066</t>
  </si>
  <si>
    <t>2015/067</t>
  </si>
  <si>
    <t>2015/068</t>
  </si>
  <si>
    <t>2015/069</t>
  </si>
  <si>
    <t>2015/070</t>
  </si>
  <si>
    <t>2015/071</t>
  </si>
  <si>
    <t>2015/072</t>
  </si>
  <si>
    <t>2015/073</t>
  </si>
  <si>
    <t>2015/074</t>
  </si>
  <si>
    <t>2015/075</t>
  </si>
  <si>
    <t>2015/076</t>
  </si>
  <si>
    <t>2015/077</t>
  </si>
  <si>
    <t>2015/078</t>
  </si>
  <si>
    <t>2015/079</t>
  </si>
  <si>
    <t>2015/080</t>
  </si>
  <si>
    <t>2015/081</t>
  </si>
  <si>
    <t>2015/082</t>
  </si>
  <si>
    <t>2015/083</t>
  </si>
  <si>
    <t>2015/084</t>
  </si>
  <si>
    <t>2015/085</t>
  </si>
  <si>
    <t>2015/086</t>
  </si>
  <si>
    <t>2015/087</t>
  </si>
  <si>
    <t>2015/088</t>
  </si>
  <si>
    <t>2015/089</t>
  </si>
  <si>
    <t>2015/090</t>
  </si>
  <si>
    <t>2015/091</t>
  </si>
  <si>
    <t>2015/092</t>
  </si>
  <si>
    <t>2015/093</t>
  </si>
  <si>
    <t>2015/094</t>
  </si>
  <si>
    <t>2015/095</t>
  </si>
  <si>
    <t>2015/096</t>
  </si>
  <si>
    <t>2015/097</t>
  </si>
  <si>
    <t>2015/098</t>
  </si>
  <si>
    <t>2015/099</t>
  </si>
  <si>
    <t>2015/100</t>
  </si>
  <si>
    <t>2015/101</t>
  </si>
  <si>
    <t>2015/102</t>
  </si>
  <si>
    <t>2015/103</t>
  </si>
  <si>
    <t>2015/104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</si>
  <si>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</si>
  <si>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</si>
  <si>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</si>
  <si>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</si>
  <si>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</si>
  <si>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</si>
  <si>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</si>
  <si>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</si>
  <si>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</si>
  <si>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</si>
  <si>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</si>
  <si>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</si>
  <si>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</si>
  <si>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</si>
  <si>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</si>
  <si>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</si>
  <si>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</si>
  <si>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</si>
  <si>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</si>
  <si>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</si>
  <si>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</si>
  <si>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</si>
  <si>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</si>
  <si>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</si>
  <si>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</si>
  <si>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</si>
  <si>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</si>
  <si>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</si>
  <si>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</si>
  <si>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</si>
  <si>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</si>
  <si>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</si>
  <si>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</si>
  <si>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</si>
  <si>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</si>
  <si>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</si>
  <si>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</si>
  <si>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</si>
  <si>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</si>
  <si>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</si>
  <si>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</si>
  <si>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</si>
  <si>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</si>
  <si>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</si>
  <si>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</si>
  <si>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</si>
  <si>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</si>
  <si>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</si>
  <si>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</si>
  <si>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</si>
  <si>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</si>
  <si>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</si>
  <si>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2016/053</t>
  </si>
  <si>
    <t>2016/054</t>
  </si>
  <si>
    <t>2016/055</t>
  </si>
  <si>
    <t>2016/056</t>
  </si>
  <si>
    <t>2016/057</t>
  </si>
  <si>
    <t>2016/058</t>
  </si>
  <si>
    <t>2016/059</t>
  </si>
  <si>
    <t>2016/060</t>
  </si>
  <si>
    <t>2016/061</t>
  </si>
  <si>
    <t>2016/062</t>
  </si>
  <si>
    <t>2016/063</t>
  </si>
  <si>
    <t>2016/064</t>
  </si>
  <si>
    <t>2016/065</t>
  </si>
  <si>
    <t>2016/066</t>
  </si>
  <si>
    <t>2016/067</t>
  </si>
  <si>
    <t>2016/068</t>
  </si>
  <si>
    <t>2016/069</t>
  </si>
  <si>
    <t>2016/070</t>
  </si>
  <si>
    <t>2016/071</t>
  </si>
  <si>
    <t>2016/072</t>
  </si>
  <si>
    <t>2016/073</t>
  </si>
  <si>
    <t>2016/074</t>
  </si>
  <si>
    <t>2016/075</t>
  </si>
  <si>
    <t>2016/076</t>
  </si>
  <si>
    <t>2016/077</t>
  </si>
  <si>
    <t>2016/078</t>
  </si>
  <si>
    <t>2016/079</t>
  </si>
  <si>
    <t>BJH27426</t>
  </si>
  <si>
    <t>2016/080</t>
  </si>
  <si>
    <t>2016/081</t>
  </si>
  <si>
    <t>BLS15995</t>
  </si>
  <si>
    <t>2016/082</t>
  </si>
  <si>
    <t>2016/083</t>
  </si>
  <si>
    <t>CCL61918</t>
  </si>
  <si>
    <t>2016/084</t>
  </si>
  <si>
    <t>2016/085</t>
  </si>
  <si>
    <t>CDZ66552</t>
  </si>
  <si>
    <t>2016/086</t>
  </si>
  <si>
    <t>2016/087</t>
  </si>
  <si>
    <t>CPR86623</t>
  </si>
  <si>
    <t>2016/088</t>
  </si>
  <si>
    <t>2016/089</t>
  </si>
  <si>
    <t>CSD19974</t>
  </si>
  <si>
    <t>2016/090</t>
  </si>
  <si>
    <t>2016/091</t>
  </si>
  <si>
    <t>CXF91697</t>
  </si>
  <si>
    <t>2016/092</t>
  </si>
  <si>
    <t>2016/093</t>
  </si>
  <si>
    <t>DFP23131</t>
  </si>
  <si>
    <t>2016/094</t>
  </si>
  <si>
    <t>2016/095</t>
  </si>
  <si>
    <t>DMF28054</t>
  </si>
  <si>
    <t>2016/096</t>
  </si>
  <si>
    <t>2016/097</t>
  </si>
  <si>
    <t>DPT23541</t>
  </si>
  <si>
    <t>2016/098</t>
  </si>
  <si>
    <t>2016/099</t>
  </si>
  <si>
    <t>DWR28814</t>
  </si>
  <si>
    <t>2016/100</t>
  </si>
  <si>
    <t>2016/101</t>
  </si>
  <si>
    <t>FFQ30170</t>
  </si>
  <si>
    <t>2016/102</t>
  </si>
  <si>
    <t>2016/103</t>
  </si>
  <si>
    <t>FJP89454</t>
  </si>
  <si>
    <t>2016/104</t>
  </si>
  <si>
    <t>2016/105</t>
  </si>
  <si>
    <t>FSF13912</t>
  </si>
  <si>
    <t>2017/001</t>
  </si>
  <si>
    <t>2017/002</t>
  </si>
  <si>
    <t>FVJ81788</t>
  </si>
  <si>
    <t>2017/003</t>
  </si>
  <si>
    <t>2017/004</t>
  </si>
  <si>
    <t>FXN29035</t>
  </si>
  <si>
    <t>2017/005</t>
  </si>
  <si>
    <t>2017/006</t>
  </si>
  <si>
    <t>GFW03268</t>
  </si>
  <si>
    <t>2017/007</t>
  </si>
  <si>
    <t>2017/008</t>
  </si>
  <si>
    <t>GPM59501</t>
  </si>
  <si>
    <t>2017/009</t>
  </si>
  <si>
    <t>2017/010</t>
  </si>
  <si>
    <t>GSM10394</t>
  </si>
  <si>
    <t>2017/011</t>
  </si>
  <si>
    <t>2017/012</t>
  </si>
  <si>
    <t>HBW20743</t>
  </si>
  <si>
    <t>2017/013</t>
  </si>
  <si>
    <t>2017/014</t>
  </si>
  <si>
    <t>HGH10518</t>
  </si>
  <si>
    <t>2017/015</t>
  </si>
  <si>
    <t>2017/016</t>
  </si>
  <si>
    <t>Lluvia Millones</t>
  </si>
  <si>
    <t>2017/017</t>
  </si>
  <si>
    <t>2017/018</t>
  </si>
  <si>
    <t>HRP80908</t>
  </si>
  <si>
    <t>2017/019</t>
  </si>
  <si>
    <t>2017/020</t>
  </si>
  <si>
    <t>HXQ69396</t>
  </si>
  <si>
    <t>2017/021</t>
  </si>
  <si>
    <t>2017/022</t>
  </si>
  <si>
    <t>JGD13368</t>
  </si>
  <si>
    <t>2017/023</t>
  </si>
  <si>
    <t>2017/024</t>
  </si>
  <si>
    <t>JMG18516</t>
  </si>
  <si>
    <t>2017/025</t>
  </si>
  <si>
    <t>2017/026</t>
  </si>
  <si>
    <t>JSV21776</t>
  </si>
  <si>
    <t>2017/027</t>
  </si>
  <si>
    <t>2017/028</t>
  </si>
  <si>
    <t>JWM17268</t>
  </si>
  <si>
    <t>2017/029</t>
  </si>
  <si>
    <t>2017/030</t>
  </si>
  <si>
    <t>KCV94497</t>
  </si>
  <si>
    <t>2017/031</t>
  </si>
  <si>
    <t>2017/032</t>
  </si>
  <si>
    <t>KJV84808</t>
  </si>
  <si>
    <t>2017/033</t>
  </si>
  <si>
    <t>2017/034</t>
  </si>
  <si>
    <t>KQG27699</t>
  </si>
  <si>
    <t>2017/035</t>
  </si>
  <si>
    <t>2017/036</t>
  </si>
  <si>
    <t>KSM02835</t>
  </si>
  <si>
    <t>2017/037</t>
  </si>
  <si>
    <t>2017/038</t>
  </si>
  <si>
    <t>LFZ78745</t>
  </si>
  <si>
    <t>2017/039</t>
  </si>
  <si>
    <t>2017/040</t>
  </si>
  <si>
    <t>LHS76737</t>
  </si>
  <si>
    <t>2017/041</t>
  </si>
  <si>
    <t>2017/042</t>
  </si>
  <si>
    <t>2017/043</t>
  </si>
  <si>
    <t>2017/044</t>
  </si>
  <si>
    <t>MBN13373</t>
  </si>
  <si>
    <t>2017/045</t>
  </si>
  <si>
    <t>2017/046</t>
  </si>
  <si>
    <t>MJQ39259</t>
  </si>
  <si>
    <t>2017/047</t>
  </si>
  <si>
    <t>2017/048</t>
  </si>
  <si>
    <t>MPW11579</t>
  </si>
  <si>
    <t>2017/049</t>
  </si>
  <si>
    <t>2017/050</t>
  </si>
  <si>
    <t>MSN13717</t>
  </si>
  <si>
    <t>2017/051</t>
  </si>
  <si>
    <t>2017/052</t>
  </si>
  <si>
    <t>NFL79741</t>
  </si>
  <si>
    <t>2017/053</t>
  </si>
  <si>
    <t>2017/054</t>
  </si>
  <si>
    <t>NHS36159</t>
  </si>
  <si>
    <t>2017/055</t>
  </si>
  <si>
    <t>2017/056</t>
  </si>
  <si>
    <t>NMN78471</t>
  </si>
  <si>
    <t>2017/057</t>
  </si>
  <si>
    <t>2017/058</t>
  </si>
  <si>
    <t>NTD49765</t>
  </si>
  <si>
    <t>2017/059</t>
  </si>
  <si>
    <t>2017/060</t>
  </si>
  <si>
    <t>NWB53211</t>
  </si>
  <si>
    <t>2017/061</t>
  </si>
  <si>
    <t>2017/062</t>
  </si>
  <si>
    <t>PFG03564</t>
  </si>
  <si>
    <t>2017/063</t>
  </si>
  <si>
    <t>2017/064</t>
  </si>
  <si>
    <t>PLQ09238</t>
  </si>
  <si>
    <t>2017/065</t>
  </si>
  <si>
    <t>2017/066</t>
  </si>
  <si>
    <t>PNN10618</t>
  </si>
  <si>
    <t>2017/067</t>
  </si>
  <si>
    <t>2017/068</t>
  </si>
  <si>
    <t>PVT60760</t>
  </si>
  <si>
    <t>2017/069</t>
  </si>
  <si>
    <t>2017/070</t>
  </si>
  <si>
    <t>PZV56474</t>
  </si>
  <si>
    <t>2017/071</t>
  </si>
  <si>
    <t>2017/072</t>
  </si>
  <si>
    <t>QFP29494</t>
  </si>
  <si>
    <t>2017/073</t>
  </si>
  <si>
    <t>2017/074</t>
  </si>
  <si>
    <t>QNB92389</t>
  </si>
  <si>
    <t>2017/075</t>
  </si>
  <si>
    <t>2017/076</t>
  </si>
  <si>
    <t>QQM59853</t>
  </si>
  <si>
    <t>2017/077</t>
  </si>
  <si>
    <t>2017/078</t>
  </si>
  <si>
    <t>RFB53048</t>
  </si>
  <si>
    <t>2017/079</t>
  </si>
  <si>
    <t>2017/080</t>
  </si>
  <si>
    <t>RRH37615</t>
  </si>
  <si>
    <t>2017/081</t>
  </si>
  <si>
    <t>2017/082</t>
  </si>
  <si>
    <t>RTH22586</t>
  </si>
  <si>
    <t>2017/083</t>
  </si>
  <si>
    <t>2017/084</t>
  </si>
  <si>
    <t>SDN79299</t>
  </si>
  <si>
    <t>2017/085</t>
  </si>
  <si>
    <t>2017/086</t>
  </si>
  <si>
    <t>SKF98808</t>
  </si>
  <si>
    <t>2017/087</t>
  </si>
  <si>
    <t>2017/088</t>
  </si>
  <si>
    <t>SMC29264</t>
  </si>
  <si>
    <t>2017/089</t>
  </si>
  <si>
    <t>SPV34991</t>
  </si>
  <si>
    <t>2017/090</t>
  </si>
  <si>
    <t>2017/091</t>
  </si>
  <si>
    <t>SZC65438</t>
  </si>
  <si>
    <t>2017/092</t>
  </si>
  <si>
    <t>2017/093</t>
  </si>
  <si>
    <t>TCZ95625</t>
  </si>
  <si>
    <t>2017/094</t>
  </si>
  <si>
    <t>2017/095</t>
  </si>
  <si>
    <t>TGX83224</t>
  </si>
  <si>
    <t>2017/096</t>
  </si>
  <si>
    <t>2017/097</t>
  </si>
  <si>
    <t>TPH75102</t>
  </si>
  <si>
    <t>2017/098</t>
  </si>
  <si>
    <t>2017/099</t>
  </si>
  <si>
    <t>TVX66431</t>
  </si>
  <si>
    <t>2017/100</t>
  </si>
  <si>
    <t>2017/101</t>
  </si>
  <si>
    <t>VGZ90400</t>
  </si>
  <si>
    <t>2017/102</t>
  </si>
  <si>
    <t>2017/103</t>
  </si>
  <si>
    <t>VLD65841</t>
  </si>
  <si>
    <t>2018/001</t>
  </si>
  <si>
    <t>2018/002</t>
  </si>
  <si>
    <t>VSX56204</t>
  </si>
  <si>
    <t>2018/003</t>
  </si>
  <si>
    <t>2018/004</t>
  </si>
  <si>
    <t>VZT29699</t>
  </si>
  <si>
    <t>2018/005</t>
  </si>
  <si>
    <t>2018/006</t>
  </si>
  <si>
    <t>WCN20873</t>
  </si>
  <si>
    <t>2018/007</t>
  </si>
  <si>
    <t>2018/008</t>
  </si>
  <si>
    <t>WLG90341</t>
  </si>
  <si>
    <t>2018/009</t>
  </si>
  <si>
    <t>2018/010</t>
  </si>
  <si>
    <t>WQK58563</t>
  </si>
  <si>
    <t>2018/011</t>
  </si>
  <si>
    <t>2018/012</t>
  </si>
  <si>
    <t>XBF99540</t>
  </si>
  <si>
    <t>2018/013</t>
  </si>
  <si>
    <t>2018/014</t>
  </si>
  <si>
    <t>XGP60849</t>
  </si>
  <si>
    <t>2018/015</t>
  </si>
  <si>
    <t>2018/016</t>
  </si>
  <si>
    <t>2018/017</t>
  </si>
  <si>
    <t>2018/018</t>
  </si>
  <si>
    <t>XZT87895</t>
  </si>
  <si>
    <t>2018/019</t>
  </si>
  <si>
    <t>2018/020</t>
  </si>
  <si>
    <t>ZKK25877</t>
  </si>
  <si>
    <t>2018/021</t>
  </si>
  <si>
    <t>2018/022</t>
  </si>
  <si>
    <t>ZPF44617</t>
  </si>
  <si>
    <t>2018/023</t>
  </si>
  <si>
    <t>2018/024</t>
  </si>
  <si>
    <t>ZSK88461</t>
  </si>
  <si>
    <t>2018/025</t>
  </si>
  <si>
    <t>2018/026</t>
  </si>
  <si>
    <t>ZXL35128</t>
  </si>
  <si>
    <t>2018/027</t>
  </si>
  <si>
    <t>2018/028</t>
  </si>
  <si>
    <t>BFM50511</t>
  </si>
  <si>
    <t>2018/029</t>
  </si>
  <si>
    <t>2018/030</t>
  </si>
  <si>
    <t>BKJ13970</t>
  </si>
  <si>
    <t>2018/031</t>
  </si>
  <si>
    <t>2018/032</t>
  </si>
  <si>
    <t>BWZ49611</t>
  </si>
  <si>
    <t>2018/033</t>
  </si>
  <si>
    <t>2018/034</t>
  </si>
  <si>
    <t>CCH92301</t>
  </si>
  <si>
    <t>2018/035</t>
  </si>
  <si>
    <t>2018/036</t>
  </si>
  <si>
    <t>CKL41725</t>
  </si>
  <si>
    <t>2018/037</t>
  </si>
  <si>
    <t>2018/038</t>
  </si>
  <si>
    <t>CLP96731</t>
  </si>
  <si>
    <t>2018/039</t>
  </si>
  <si>
    <t>2018/040</t>
  </si>
  <si>
    <t>CSB02014</t>
  </si>
  <si>
    <t>2018/041</t>
  </si>
  <si>
    <t>2018/042</t>
  </si>
  <si>
    <t>CXN55745</t>
  </si>
  <si>
    <t>2018/043</t>
  </si>
  <si>
    <t>2018/044</t>
  </si>
  <si>
    <t>DHH86726</t>
  </si>
  <si>
    <t>2018/045</t>
  </si>
  <si>
    <t>2018/046</t>
  </si>
  <si>
    <t>DJR42594</t>
  </si>
  <si>
    <t>2018/047</t>
  </si>
  <si>
    <t>2018/048</t>
  </si>
  <si>
    <t>DSD86887</t>
  </si>
  <si>
    <t>2018/049</t>
  </si>
  <si>
    <t>2018/050</t>
  </si>
  <si>
    <t>DWL19465</t>
  </si>
  <si>
    <t>2018/051</t>
  </si>
  <si>
    <t>2018/052</t>
  </si>
  <si>
    <t>FBF67819</t>
  </si>
  <si>
    <t>2018/053</t>
  </si>
  <si>
    <t>2018/054</t>
  </si>
  <si>
    <t>FJD99813</t>
  </si>
  <si>
    <t>2018/055</t>
  </si>
  <si>
    <t>2018/056</t>
  </si>
  <si>
    <t>FKW87491</t>
  </si>
  <si>
    <t>2018/057</t>
  </si>
  <si>
    <t>2018/058</t>
  </si>
  <si>
    <t>FRT66788</t>
  </si>
  <si>
    <t>2018/059</t>
  </si>
  <si>
    <t>2018/060</t>
  </si>
  <si>
    <t>FTF66927</t>
  </si>
  <si>
    <t>2018/061</t>
  </si>
  <si>
    <t>2018/062</t>
  </si>
  <si>
    <t>GBG43976</t>
  </si>
  <si>
    <t>2018/063</t>
  </si>
  <si>
    <t>2018/064</t>
  </si>
  <si>
    <t>GJD73688</t>
  </si>
  <si>
    <t>2018/065</t>
  </si>
  <si>
    <t>2018/066</t>
  </si>
  <si>
    <t>GLS19533</t>
  </si>
  <si>
    <t>2018/067</t>
  </si>
  <si>
    <t>2018/068</t>
  </si>
  <si>
    <t>GSS45063</t>
  </si>
  <si>
    <t>2018/069</t>
  </si>
  <si>
    <t>2018/070</t>
  </si>
  <si>
    <t>HBM29755</t>
  </si>
  <si>
    <t>2018/071</t>
  </si>
  <si>
    <t>2018/072</t>
  </si>
  <si>
    <t>HHS91578</t>
  </si>
  <si>
    <t>2018/073</t>
  </si>
  <si>
    <t>2018/074</t>
  </si>
  <si>
    <t>HLZ53001</t>
  </si>
  <si>
    <t>2018/075</t>
  </si>
  <si>
    <t>2018/076</t>
  </si>
  <si>
    <t>HRP49659</t>
  </si>
  <si>
    <t>2018/077</t>
  </si>
  <si>
    <t>2018/078</t>
  </si>
  <si>
    <t>HXC57865</t>
  </si>
  <si>
    <t>2018/079</t>
  </si>
  <si>
    <t>2018/080</t>
  </si>
  <si>
    <t>JHV16849</t>
  </si>
  <si>
    <t>2018/081</t>
  </si>
  <si>
    <t>2018/082</t>
  </si>
  <si>
    <t>JPC28768</t>
  </si>
  <si>
    <t>2018/083</t>
  </si>
  <si>
    <t>2018/084</t>
  </si>
  <si>
    <t>JTT81855</t>
  </si>
  <si>
    <t>2018/085</t>
  </si>
  <si>
    <t>2018/086</t>
  </si>
  <si>
    <t>JWX30918</t>
  </si>
  <si>
    <t>2018/087</t>
  </si>
  <si>
    <t>2018/088</t>
  </si>
  <si>
    <t>KHS69266</t>
  </si>
  <si>
    <t>2018/089</t>
  </si>
  <si>
    <t>2018/090</t>
  </si>
  <si>
    <t>KLZ88234</t>
  </si>
  <si>
    <t>2018/091</t>
  </si>
  <si>
    <t>2018/092</t>
  </si>
  <si>
    <t>KQN64204</t>
  </si>
  <si>
    <t>2018/093</t>
  </si>
  <si>
    <t>2018/094</t>
  </si>
  <si>
    <t>KWP75105</t>
  </si>
  <si>
    <t>2018/095</t>
  </si>
  <si>
    <t>2018/096</t>
  </si>
  <si>
    <t>LFD21753</t>
  </si>
  <si>
    <t>2018/097</t>
  </si>
  <si>
    <t>2018/098</t>
  </si>
  <si>
    <t>LJL57701</t>
  </si>
  <si>
    <t>2018/099</t>
  </si>
  <si>
    <t>2018/100</t>
  </si>
  <si>
    <t>LNH36834</t>
  </si>
  <si>
    <t>2018/101</t>
  </si>
  <si>
    <t>2018/102</t>
  </si>
  <si>
    <t>LSL36734</t>
  </si>
  <si>
    <t>2018/103</t>
  </si>
  <si>
    <t>2018/104</t>
  </si>
  <si>
    <t>MBD65127</t>
  </si>
  <si>
    <t>2019/001</t>
  </si>
  <si>
    <t>2019/002</t>
  </si>
  <si>
    <t>MHT56286</t>
  </si>
  <si>
    <t>2019/003</t>
  </si>
  <si>
    <t>2019/004</t>
  </si>
  <si>
    <t>MMN18701</t>
  </si>
  <si>
    <t>2019/005</t>
  </si>
  <si>
    <t>2019/006</t>
  </si>
  <si>
    <t>MQS81619</t>
  </si>
  <si>
    <t>2019/007</t>
  </si>
  <si>
    <t>2019/008</t>
  </si>
  <si>
    <t>MVB61271</t>
  </si>
  <si>
    <t>2019/009</t>
  </si>
  <si>
    <t>2019/010</t>
  </si>
  <si>
    <t>NJD81255</t>
  </si>
  <si>
    <t>2019/011</t>
  </si>
  <si>
    <t>2019/012</t>
  </si>
  <si>
    <t>NQN06256</t>
  </si>
  <si>
    <t>2019/013</t>
  </si>
  <si>
    <t>2019/014</t>
  </si>
  <si>
    <t>NTQ03744</t>
  </si>
  <si>
    <t>2019/015</t>
  </si>
  <si>
    <t>2019/016</t>
  </si>
  <si>
    <t>PFR02379</t>
  </si>
  <si>
    <t>2019/017</t>
  </si>
  <si>
    <t>2019/018</t>
  </si>
  <si>
    <t>PLZ07175</t>
  </si>
  <si>
    <t>2019/019</t>
  </si>
  <si>
    <t>PPD19077</t>
  </si>
  <si>
    <t>2019/020</t>
  </si>
  <si>
    <t>PPW83022</t>
  </si>
  <si>
    <t>2019/021</t>
  </si>
  <si>
    <t>PTQ72683</t>
  </si>
  <si>
    <t>2019/022</t>
  </si>
  <si>
    <t>PTK34932</t>
  </si>
  <si>
    <t>2019/023</t>
  </si>
  <si>
    <t>PZS37992</t>
  </si>
  <si>
    <t>2019/024</t>
  </si>
  <si>
    <t>QCD66409</t>
  </si>
  <si>
    <t>2019/025</t>
  </si>
  <si>
    <t>QFT06984</t>
  </si>
  <si>
    <t>2019/026</t>
  </si>
  <si>
    <t>QDV56584</t>
  </si>
  <si>
    <t>2019/027</t>
  </si>
  <si>
    <t>QJB23561</t>
  </si>
  <si>
    <t>2019/028</t>
  </si>
  <si>
    <t>QLW98978</t>
  </si>
  <si>
    <t>2019/029</t>
  </si>
  <si>
    <t>QNW13689</t>
  </si>
  <si>
    <t>2019/030</t>
  </si>
  <si>
    <t>QNC26802</t>
  </si>
  <si>
    <t>2019/031</t>
  </si>
  <si>
    <t>QSN16108</t>
  </si>
  <si>
    <t>2019/032</t>
  </si>
  <si>
    <t>QTD96941</t>
  </si>
  <si>
    <t>2019/033</t>
  </si>
  <si>
    <t>QTZ73953</t>
  </si>
  <si>
    <t>2019/034</t>
  </si>
  <si>
    <t>QXR83743</t>
  </si>
  <si>
    <t>2019/035</t>
  </si>
  <si>
    <t>QZM00226</t>
  </si>
  <si>
    <t>2019/036</t>
  </si>
  <si>
    <t>RCF49589</t>
  </si>
  <si>
    <t>2019/037</t>
  </si>
  <si>
    <t>RFF99717</t>
  </si>
  <si>
    <t>2019/038</t>
  </si>
  <si>
    <t>RGR33930</t>
  </si>
  <si>
    <t>2019/039</t>
  </si>
  <si>
    <t>RJP54280</t>
  </si>
  <si>
    <t>2019/040</t>
  </si>
  <si>
    <t>RJJ70644</t>
  </si>
  <si>
    <t>2019/041</t>
  </si>
  <si>
    <t>RNC78018</t>
  </si>
  <si>
    <t>2019/042</t>
  </si>
  <si>
    <t>RPM90292</t>
  </si>
  <si>
    <t>2019/043</t>
  </si>
  <si>
    <t>PQK16803</t>
  </si>
  <si>
    <t>2019/044</t>
  </si>
  <si>
    <t>RQZ83470</t>
  </si>
  <si>
    <t>2019/045</t>
  </si>
  <si>
    <t>RTK92752</t>
  </si>
  <si>
    <t>2019/046</t>
  </si>
  <si>
    <t>RZL88551</t>
  </si>
  <si>
    <t>2019/047</t>
  </si>
  <si>
    <t>SCN05137</t>
  </si>
  <si>
    <t>2019/048</t>
  </si>
  <si>
    <t>SDN78898</t>
  </si>
  <si>
    <t>2019/049</t>
  </si>
  <si>
    <t>SHP60109</t>
  </si>
  <si>
    <t>2019/050</t>
  </si>
  <si>
    <t>SKK88230</t>
  </si>
  <si>
    <t>2019/051</t>
  </si>
  <si>
    <t>SLR40980</t>
  </si>
  <si>
    <t>2019/052</t>
  </si>
  <si>
    <t>SNS88526</t>
  </si>
  <si>
    <t>2019/053</t>
  </si>
  <si>
    <t>SQV68605</t>
  </si>
  <si>
    <t>2019/054</t>
  </si>
  <si>
    <t>SSS73750</t>
  </si>
  <si>
    <t>2019/055</t>
  </si>
  <si>
    <t>SVX94085</t>
  </si>
  <si>
    <t>2019/056</t>
  </si>
  <si>
    <t>SXP51999</t>
  </si>
  <si>
    <t>2019/057</t>
  </si>
  <si>
    <t>TBM29133</t>
  </si>
  <si>
    <t>2019/058</t>
  </si>
  <si>
    <t>TDR42621</t>
  </si>
  <si>
    <t>2019/059</t>
  </si>
  <si>
    <t>THS39362</t>
  </si>
  <si>
    <t>2019/060</t>
  </si>
  <si>
    <t>TKB07033</t>
  </si>
  <si>
    <t>2019/061</t>
  </si>
  <si>
    <t>TLG96606</t>
  </si>
  <si>
    <t>2019/062</t>
  </si>
  <si>
    <t>TLQ25913</t>
  </si>
  <si>
    <t>2019/063</t>
  </si>
  <si>
    <t>TPS78728</t>
  </si>
  <si>
    <t>2019/064</t>
  </si>
  <si>
    <t>TQV48034</t>
  </si>
  <si>
    <t>2019/065</t>
  </si>
  <si>
    <t>TTT33161</t>
  </si>
  <si>
    <t>2019/066</t>
  </si>
  <si>
    <t>TWR88374</t>
  </si>
  <si>
    <t>2019/067</t>
  </si>
  <si>
    <t>TXV14008</t>
  </si>
  <si>
    <t>2019/068</t>
  </si>
  <si>
    <t>VCD46107</t>
  </si>
  <si>
    <t>2019/069</t>
  </si>
  <si>
    <t>VFG92258</t>
  </si>
  <si>
    <t>2019/070</t>
  </si>
  <si>
    <t>VFH03723</t>
  </si>
  <si>
    <t>2019/071</t>
  </si>
  <si>
    <t>VMV60199</t>
  </si>
  <si>
    <t>2019/072</t>
  </si>
  <si>
    <t>VPF12048</t>
  </si>
  <si>
    <t>2019/073</t>
  </si>
  <si>
    <t>VSF94554</t>
  </si>
  <si>
    <t>2019/074</t>
  </si>
  <si>
    <t>VSS73635</t>
  </si>
  <si>
    <t>2019/075</t>
  </si>
  <si>
    <t>VXZ68416</t>
  </si>
  <si>
    <t>2019/076</t>
  </si>
  <si>
    <t>WDK06586</t>
  </si>
  <si>
    <t>2019/077</t>
  </si>
  <si>
    <t>WJL39504</t>
  </si>
  <si>
    <t>2019/078</t>
  </si>
  <si>
    <t>VZH05969</t>
  </si>
  <si>
    <t>2019/079</t>
  </si>
  <si>
    <t>WSG90052</t>
  </si>
  <si>
    <t>2019/080</t>
  </si>
  <si>
    <t>WQK53423</t>
  </si>
  <si>
    <t>2019/081</t>
  </si>
  <si>
    <t>XFH01864</t>
  </si>
  <si>
    <t>2019/082</t>
  </si>
  <si>
    <t>XCB14207</t>
  </si>
  <si>
    <t>2019/083</t>
  </si>
  <si>
    <t>XJC74608</t>
  </si>
  <si>
    <t>2019/084</t>
  </si>
  <si>
    <t>XJR10817</t>
  </si>
  <si>
    <t>2019/085</t>
  </si>
  <si>
    <t>XNQ12204</t>
  </si>
  <si>
    <t>2019/086</t>
  </si>
  <si>
    <t>XPV95090</t>
  </si>
  <si>
    <t>2019/087</t>
  </si>
  <si>
    <t>XQS05945</t>
  </si>
  <si>
    <t>2019/088</t>
  </si>
  <si>
    <t>XVF84532</t>
  </si>
  <si>
    <t>2019/089</t>
  </si>
  <si>
    <t>XXK47324</t>
  </si>
  <si>
    <t>2019/090</t>
  </si>
  <si>
    <t>XXX22036</t>
  </si>
  <si>
    <t>2019/091</t>
  </si>
  <si>
    <t>ZDF41073</t>
  </si>
  <si>
    <t>2019/092</t>
  </si>
  <si>
    <t>ZDC57131</t>
  </si>
  <si>
    <t>2019/093</t>
  </si>
  <si>
    <t>ZKF38446</t>
  </si>
  <si>
    <t>2019/094</t>
  </si>
  <si>
    <t>ZKR75708</t>
  </si>
  <si>
    <t>2019/095</t>
  </si>
  <si>
    <t>ZNQ32243</t>
  </si>
  <si>
    <t>2019/096</t>
  </si>
  <si>
    <t>ZQF60714</t>
  </si>
  <si>
    <t>2019/097</t>
  </si>
  <si>
    <t>ZSR18374</t>
  </si>
  <si>
    <t>2019/098</t>
  </si>
  <si>
    <t>ZTT18731</t>
  </si>
  <si>
    <t>2019/099</t>
  </si>
  <si>
    <t>ZXD53589</t>
  </si>
  <si>
    <t>2019/100</t>
  </si>
  <si>
    <t>ZWJ16997</t>
  </si>
  <si>
    <t>2019/101</t>
  </si>
  <si>
    <t>BBP62267</t>
  </si>
  <si>
    <t>2019/102</t>
  </si>
  <si>
    <t>BCZ18714</t>
  </si>
  <si>
    <t>2019/103</t>
  </si>
  <si>
    <t>BHR18524</t>
  </si>
  <si>
    <t>2019/104</t>
  </si>
  <si>
    <t>BJC55088</t>
  </si>
  <si>
    <t>2019/105</t>
  </si>
  <si>
    <t>BMK73193</t>
  </si>
  <si>
    <t>BLC39077</t>
  </si>
  <si>
    <t>BPV01728</t>
  </si>
  <si>
    <t>BST33327</t>
  </si>
  <si>
    <t>BTR65604</t>
  </si>
  <si>
    <t>BZB31614</t>
  </si>
  <si>
    <t>CCL70059</t>
  </si>
  <si>
    <t>CBQ37046</t>
  </si>
  <si>
    <t>CFX12466</t>
  </si>
  <si>
    <t>CGH08005</t>
  </si>
  <si>
    <t>2020/010</t>
  </si>
  <si>
    <t>CJZ30544</t>
  </si>
  <si>
    <t>2020/011</t>
  </si>
  <si>
    <t>CPK12451</t>
  </si>
  <si>
    <t>2020/012</t>
  </si>
  <si>
    <t>CQX32862</t>
  </si>
  <si>
    <t>2020/013</t>
  </si>
  <si>
    <t>CSN15162</t>
  </si>
  <si>
    <t>2020/014</t>
  </si>
  <si>
    <t>CVV46607</t>
  </si>
  <si>
    <t>2020/015</t>
  </si>
  <si>
    <t>CWR50202</t>
  </si>
  <si>
    <t>2020/016</t>
  </si>
  <si>
    <t>DBC91756</t>
  </si>
  <si>
    <t>2020/017</t>
  </si>
  <si>
    <t>DDJ82234</t>
  </si>
  <si>
    <t>2020/018</t>
  </si>
  <si>
    <t>DFR24214</t>
  </si>
  <si>
    <t>2020/019</t>
  </si>
  <si>
    <t>DFN35083</t>
  </si>
  <si>
    <t>2020/020</t>
  </si>
  <si>
    <t>DJF98598</t>
  </si>
  <si>
    <t>2020/021</t>
  </si>
  <si>
    <t>DMJ68605</t>
  </si>
  <si>
    <t>2020/022</t>
  </si>
  <si>
    <t>DMK49867</t>
  </si>
  <si>
    <t>2020/023</t>
  </si>
  <si>
    <t>DMM04889</t>
  </si>
  <si>
    <t>2020/040</t>
  </si>
  <si>
    <t>BBL01449</t>
  </si>
  <si>
    <t>2020/041</t>
  </si>
  <si>
    <t>BCQ26357</t>
  </si>
  <si>
    <t>2020/042</t>
  </si>
  <si>
    <t>BFQ86819</t>
  </si>
  <si>
    <t>2020/043</t>
  </si>
  <si>
    <t>BGV94265</t>
  </si>
  <si>
    <t>2020/044</t>
  </si>
  <si>
    <t>BHQ90769</t>
  </si>
  <si>
    <t>2020/045</t>
  </si>
  <si>
    <t>BKB00263</t>
  </si>
  <si>
    <t>2020/046</t>
  </si>
  <si>
    <t>BLB84078</t>
  </si>
  <si>
    <t>2020/047</t>
  </si>
  <si>
    <t>BND31615</t>
  </si>
  <si>
    <t>2020/048</t>
  </si>
  <si>
    <t>BLB39445</t>
  </si>
  <si>
    <t>EU</t>
  </si>
  <si>
    <t>E3</t>
  </si>
  <si>
    <t>E4</t>
  </si>
  <si>
    <t>E5</t>
  </si>
  <si>
    <t>Joker</t>
  </si>
  <si>
    <t>2020/049</t>
  </si>
  <si>
    <t>BSH62228</t>
  </si>
  <si>
    <t>2020/001</t>
  </si>
  <si>
    <t>2020/002</t>
  </si>
  <si>
    <t>2020/003</t>
  </si>
  <si>
    <t>2020/004</t>
  </si>
  <si>
    <t>2020/005</t>
  </si>
  <si>
    <t>2020/006</t>
  </si>
  <si>
    <t>2020/007</t>
  </si>
  <si>
    <t>2020/008</t>
  </si>
  <si>
    <t>2020/009</t>
  </si>
  <si>
    <t>No</t>
  </si>
  <si>
    <t>BMZ04221</t>
  </si>
  <si>
    <t>BQF19159</t>
  </si>
  <si>
    <t>BSQ65220</t>
  </si>
  <si>
    <t>BVM99583</t>
  </si>
  <si>
    <t>BXH36262</t>
  </si>
  <si>
    <t>CCK54402</t>
  </si>
  <si>
    <t>CDM61306</t>
  </si>
  <si>
    <t>CHG27512</t>
  </si>
  <si>
    <t>CJJ88980</t>
  </si>
  <si>
    <t>CLL68600</t>
  </si>
  <si>
    <t>CMW62327</t>
  </si>
  <si>
    <t>CQZ65284</t>
  </si>
  <si>
    <t>CSG18215</t>
  </si>
  <si>
    <t>CTV50230</t>
  </si>
  <si>
    <t>CWZ62147</t>
  </si>
  <si>
    <t>DBD11969</t>
  </si>
  <si>
    <t>DCX79889</t>
  </si>
  <si>
    <t>DFP79666</t>
  </si>
  <si>
    <t>DGX33116</t>
  </si>
  <si>
    <t>DJS69894</t>
  </si>
  <si>
    <t>DLQ70370</t>
  </si>
  <si>
    <t>BBM60568</t>
  </si>
  <si>
    <t>BDD73362</t>
  </si>
  <si>
    <t>BFJ18471</t>
  </si>
  <si>
    <t>BGR72056</t>
  </si>
  <si>
    <t>BJD17673</t>
  </si>
  <si>
    <t>BKJ06752</t>
  </si>
  <si>
    <t>BLJ33370</t>
  </si>
  <si>
    <t>BNN23352</t>
  </si>
  <si>
    <t>BPX37889</t>
  </si>
  <si>
    <t>BRJ77394</t>
  </si>
  <si>
    <t>BSV30598</t>
  </si>
  <si>
    <t>BTP31802</t>
  </si>
  <si>
    <t>CategoriaPremio</t>
  </si>
  <si>
    <t>Premio 12ª catg.</t>
  </si>
  <si>
    <t>Premio 13ª catg.</t>
  </si>
  <si>
    <t>13ª</t>
  </si>
  <si>
    <t>2020/050</t>
  </si>
  <si>
    <t>2020/051</t>
  </si>
  <si>
    <t>2020/052</t>
  </si>
  <si>
    <t>2020/053</t>
  </si>
  <si>
    <t>2020/054</t>
  </si>
  <si>
    <t>2020/055</t>
  </si>
  <si>
    <t>BRN50858</t>
  </si>
  <si>
    <t>BSX99194</t>
  </si>
  <si>
    <t>BXS82384</t>
  </si>
  <si>
    <t>CBQ96302</t>
  </si>
  <si>
    <t>CFK27111</t>
  </si>
  <si>
    <t>BWG42941</t>
  </si>
  <si>
    <t>2020/056</t>
  </si>
  <si>
    <t>2020/057</t>
  </si>
  <si>
    <t>2020/058</t>
  </si>
  <si>
    <t>2020/059</t>
  </si>
  <si>
    <t>2020/060</t>
  </si>
  <si>
    <t>2020/061</t>
  </si>
  <si>
    <t>2020/062</t>
  </si>
  <si>
    <t>2020/063</t>
  </si>
  <si>
    <t>CJT24439</t>
  </si>
  <si>
    <t>CHZ73362</t>
  </si>
  <si>
    <t>CNL38247</t>
  </si>
  <si>
    <t>CND55355</t>
  </si>
  <si>
    <t>CRF45468</t>
  </si>
  <si>
    <t>CQT10355</t>
  </si>
  <si>
    <t>CVQ35845</t>
  </si>
  <si>
    <t>CTV04015</t>
  </si>
  <si>
    <t>BXB90505</t>
  </si>
  <si>
    <t>BZQ01017</t>
  </si>
  <si>
    <t>CFF90748</t>
  </si>
  <si>
    <t>CHC80153</t>
  </si>
  <si>
    <t>CJT53601</t>
  </si>
  <si>
    <t>CLK45017</t>
  </si>
  <si>
    <t>CNC63651</t>
  </si>
  <si>
    <t>CPR73156</t>
  </si>
  <si>
    <t>CRJ12134</t>
  </si>
  <si>
    <t>CSG16341</t>
  </si>
  <si>
    <t>CTS30973</t>
  </si>
  <si>
    <t>CWH69532</t>
  </si>
  <si>
    <t>ma., 04/08/2020</t>
  </si>
  <si>
    <t>vi., 07/08/2020</t>
  </si>
  <si>
    <t>10ª</t>
  </si>
  <si>
    <t>Sugerencias</t>
  </si>
  <si>
    <t>Fecha de Análisis</t>
  </si>
  <si>
    <t>Numero de Sorteo</t>
  </si>
  <si>
    <t>Concurso</t>
  </si>
  <si>
    <t>LP</t>
  </si>
  <si>
    <t>V</t>
  </si>
  <si>
    <t>Combinación:</t>
  </si>
  <si>
    <t>C</t>
  </si>
  <si>
    <t>Parametros</t>
  </si>
  <si>
    <t>Metodos</t>
  </si>
  <si>
    <t>#1</t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</si>
  <si>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</si>
  <si>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</si>
  <si>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</si>
  <si>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</si>
  <si>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</si>
  <si>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</si>
  <si>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</si>
  <si>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</si>
  <si>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</si>
  <si>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</si>
  <si>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</si>
  <si>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#12 Bombo Cargado Ausencia(D) Registros(30)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</si>
</sst>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d/m/yy"/>
    <numFmt numFmtId="165" formatCode="00"/>
    <numFmt numFmtId="166" formatCode="_-* #,##0.0\ _€_-;\-* #,##0.0\ _€_-;_-* &quot;-&quot;??\ _€_-;_-@_-"/>
    <numFmt numFmtId="169" formatCode="d/m/yyyy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</font>
    <font>
      <sz val="10"/>
      <color indexed="8"/>
      <name val="Arial"/>
    </font>
    <font>
      <sz val="18"/>
      <color theme="3"/>
      <name val="Calibri Light"/>
      <family val="2"/>
      <scheme val="major"/>
    </font>
    <font>
      <b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4F81BD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5117038483843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/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</borders>
  <cellStyleXfs count="6">
    <xf numFmtId="0" fontId="0" fillId="0" borderId="0"/>
    <xf numFmtId="0" fontId="4" fillId="0" borderId="0"/>
    <xf numFmtId="0" fontId="4" fillId="0" borderId="0"/>
    <xf numFmtId="0" fontId="11" fillId="9" borderId="0" applyNumberFormat="0" applyBorder="0" applyAlignment="0" applyProtection="0"/>
    <xf numFmtId="0" fontId="2" fillId="0" borderId="0"/>
    <xf numFmtId="0" fontId="15" fillId="0" borderId="0" applyNumberFormat="0" applyFill="0" applyBorder="0" applyAlignment="0" applyProtection="0"/>
  </cellStyleXfs>
  <cellXfs count="84">
    <xf numFmtId="0" fontId="0" fillId="0" borderId="0" xfId="0"/>
    <xf numFmtId="15" fontId="3" fillId="2" borderId="0" xfId="0" applyNumberFormat="1" applyFont="1" applyFill="1" applyAlignment="1">
      <alignment vertical="top"/>
    </xf>
    <xf numFmtId="0" fontId="3" fillId="2" borderId="0" xfId="0" applyFont="1" applyFill="1" applyAlignment="1">
      <alignment vertical="top"/>
    </xf>
    <xf numFmtId="0" fontId="4" fillId="0" borderId="0" xfId="1" applyFont="1" applyAlignment="1">
      <alignment vertical="top"/>
    </xf>
    <xf numFmtId="0" fontId="5" fillId="0" borderId="0" xfId="0" applyFont="1" applyAlignment="1">
      <alignment vertical="top"/>
    </xf>
    <xf numFmtId="0" fontId="4" fillId="0" borderId="0" xfId="2" applyFont="1" applyFill="1" applyAlignment="1">
      <alignment vertical="top"/>
    </xf>
    <xf numFmtId="0" fontId="2" fillId="0" borderId="0" xfId="0" applyFont="1" applyAlignment="1">
      <alignment vertical="top"/>
    </xf>
    <xf numFmtId="14" fontId="4" fillId="0" borderId="0" xfId="2" applyNumberFormat="1" applyAlignment="1">
      <alignment vertical="top"/>
    </xf>
    <xf numFmtId="0" fontId="2" fillId="0" borderId="0" xfId="2" applyFont="1" applyFill="1" applyAlignment="1">
      <alignment vertical="top"/>
    </xf>
    <xf numFmtId="44" fontId="2" fillId="0" borderId="0" xfId="2" applyNumberFormat="1" applyFont="1" applyAlignment="1">
      <alignment vertical="top"/>
    </xf>
    <xf numFmtId="7" fontId="2" fillId="0" borderId="0" xfId="2" applyNumberFormat="1" applyFont="1" applyFill="1" applyAlignment="1">
      <alignment vertical="top"/>
    </xf>
    <xf numFmtId="15" fontId="6" fillId="0" borderId="2" xfId="0" applyNumberFormat="1" applyFont="1" applyBorder="1" applyAlignment="1">
      <alignment horizontal="right" vertical="top"/>
    </xf>
    <xf numFmtId="0" fontId="6" fillId="0" borderId="2" xfId="0" applyFont="1" applyBorder="1" applyAlignment="1">
      <alignment horizontal="right" vertical="top"/>
    </xf>
    <xf numFmtId="0" fontId="6" fillId="0" borderId="2" xfId="2" applyNumberFormat="1" applyFont="1" applyFill="1" applyBorder="1" applyAlignment="1">
      <alignment horizontal="center"/>
    </xf>
    <xf numFmtId="0" fontId="4" fillId="0" borderId="0" xfId="1" applyFont="1"/>
    <xf numFmtId="14" fontId="4" fillId="0" borderId="1" xfId="2" applyNumberFormat="1" applyFill="1" applyBorder="1" applyAlignment="1">
      <alignment vertical="top"/>
    </xf>
    <xf numFmtId="164" fontId="4" fillId="0" borderId="0" xfId="2" applyNumberFormat="1" applyFont="1" applyFill="1"/>
    <xf numFmtId="0" fontId="4" fillId="0" borderId="0" xfId="2" applyNumberFormat="1" applyFont="1" applyFill="1"/>
    <xf numFmtId="0" fontId="4" fillId="0" borderId="0" xfId="2" applyFont="1" applyFill="1"/>
    <xf numFmtId="0" fontId="4" fillId="0" borderId="0" xfId="1" applyFont="1" applyFill="1"/>
    <xf numFmtId="0" fontId="7" fillId="0" borderId="0" xfId="0" applyFont="1"/>
    <xf numFmtId="14" fontId="5" fillId="0" borderId="0" xfId="0" applyNumberFormat="1" applyFont="1"/>
    <xf numFmtId="0" fontId="8" fillId="0" borderId="0" xfId="0" quotePrefix="1" applyFont="1"/>
    <xf numFmtId="0" fontId="5" fillId="0" borderId="0" xfId="0" applyFont="1"/>
    <xf numFmtId="0" fontId="9" fillId="3" borderId="3" xfId="0" applyFont="1" applyFill="1" applyBorder="1"/>
    <xf numFmtId="14" fontId="9" fillId="3" borderId="0" xfId="0" applyNumberFormat="1" applyFont="1" applyFill="1"/>
    <xf numFmtId="0" fontId="9" fillId="3" borderId="0" xfId="0" applyFont="1" applyFill="1"/>
    <xf numFmtId="0" fontId="9" fillId="4" borderId="0" xfId="0" applyFont="1" applyFill="1" applyAlignment="1">
      <alignment textRotation="90"/>
    </xf>
    <xf numFmtId="14" fontId="5" fillId="5" borderId="0" xfId="0" applyNumberFormat="1" applyFont="1" applyFill="1"/>
    <xf numFmtId="165" fontId="5" fillId="5" borderId="0" xfId="0" applyNumberFormat="1" applyFont="1" applyFill="1"/>
    <xf numFmtId="0" fontId="5" fillId="5" borderId="0" xfId="0" applyFont="1" applyFill="1"/>
    <xf numFmtId="0" fontId="8" fillId="3" borderId="0" xfId="0" applyFont="1" applyFill="1"/>
    <xf numFmtId="166" fontId="5" fillId="0" borderId="0" xfId="0" applyNumberFormat="1" applyFont="1"/>
    <xf numFmtId="14" fontId="5" fillId="6" borderId="0" xfId="0" applyNumberFormat="1" applyFont="1" applyFill="1"/>
    <xf numFmtId="165" fontId="5" fillId="6" borderId="0" xfId="0" applyNumberFormat="1" applyFont="1" applyFill="1"/>
    <xf numFmtId="0" fontId="5" fillId="6" borderId="0" xfId="0" applyFont="1" applyFill="1"/>
    <xf numFmtId="14" fontId="5" fillId="7" borderId="0" xfId="0" applyNumberFormat="1" applyFont="1" applyFill="1"/>
    <xf numFmtId="165" fontId="5" fillId="7" borderId="0" xfId="0" applyNumberFormat="1" applyFont="1" applyFill="1"/>
    <xf numFmtId="0" fontId="5" fillId="7" borderId="0" xfId="0" applyFont="1" applyFill="1"/>
    <xf numFmtId="14" fontId="5" fillId="8" borderId="0" xfId="0" applyNumberFormat="1" applyFont="1" applyFill="1"/>
    <xf numFmtId="165" fontId="5" fillId="8" borderId="0" xfId="0" applyNumberFormat="1" applyFont="1" applyFill="1"/>
    <xf numFmtId="0" fontId="5" fillId="8" borderId="0" xfId="0" applyFont="1" applyFill="1"/>
    <xf numFmtId="14" fontId="0" fillId="0" borderId="0" xfId="0" applyNumberFormat="1"/>
    <xf numFmtId="0" fontId="1" fillId="3" borderId="4" xfId="0" applyFont="1" applyFill="1" applyBorder="1"/>
    <xf numFmtId="0" fontId="1" fillId="3" borderId="5" xfId="0" applyFont="1" applyFill="1" applyBorder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0" fillId="0" borderId="0" xfId="0" applyFont="1" applyFill="1" applyAlignment="1">
      <alignment horizontal="left"/>
    </xf>
    <xf numFmtId="0" fontId="12" fillId="0" borderId="0" xfId="0" applyFont="1" applyFill="1" applyAlignment="1">
      <alignment horizontal="left"/>
    </xf>
    <xf numFmtId="0" fontId="12" fillId="0" borderId="0" xfId="4" applyFont="1" applyFill="1" applyAlignment="1">
      <alignment horizontal="left"/>
    </xf>
    <xf numFmtId="0" fontId="0" fillId="0" borderId="0" xfId="0" applyFont="1" applyFill="1" applyAlignment="1">
      <alignment horizontal="left"/>
    </xf>
    <xf numFmtId="0" fontId="10" fillId="0" borderId="0" xfId="0" applyFont="1" applyAlignment="1">
      <alignment horizontal="right"/>
    </xf>
    <xf numFmtId="0" fontId="10" fillId="0" borderId="0" xfId="0" applyFont="1" applyFill="1" applyAlignment="1">
      <alignment horizontal="right"/>
    </xf>
    <xf numFmtId="0" fontId="0" fillId="0" borderId="0" xfId="0" applyFont="1" applyFill="1" applyAlignment="1">
      <alignment horizontal="right"/>
    </xf>
    <xf numFmtId="15" fontId="1" fillId="0" borderId="6" xfId="3" applyNumberFormat="1" applyFont="1" applyFill="1" applyBorder="1" applyAlignment="1">
      <alignment horizontal="center"/>
    </xf>
    <xf numFmtId="15" fontId="1" fillId="0" borderId="0" xfId="3" applyNumberFormat="1" applyFont="1" applyFill="1" applyAlignment="1">
      <alignment horizontal="center"/>
    </xf>
    <xf numFmtId="0" fontId="1" fillId="0" borderId="0" xfId="3" applyFont="1" applyFill="1" applyAlignment="1">
      <alignment horizontal="center"/>
    </xf>
    <xf numFmtId="0" fontId="11" fillId="0" borderId="0" xfId="3" applyNumberFormat="1" applyFont="1" applyFill="1" applyAlignment="1">
      <alignment horizontal="center"/>
    </xf>
    <xf numFmtId="0" fontId="0" fillId="0" borderId="0" xfId="0" applyAlignment="1"/>
    <xf numFmtId="14" fontId="12" fillId="0" borderId="0" xfId="4" applyNumberFormat="1" applyFont="1" applyAlignment="1">
      <alignment horizontal="left"/>
    </xf>
    <xf numFmtId="0" fontId="12" fillId="0" borderId="0" xfId="0" applyNumberFormat="1" applyFont="1" applyFill="1" applyAlignment="1">
      <alignment horizontal="left"/>
    </xf>
    <xf numFmtId="1" fontId="12" fillId="0" borderId="0" xfId="0" applyNumberFormat="1" applyFont="1" applyAlignment="1">
      <alignment horizontal="right"/>
    </xf>
    <xf numFmtId="1" fontId="12" fillId="0" borderId="0" xfId="0" applyNumberFormat="1" applyFont="1" applyFill="1" applyAlignment="1">
      <alignment horizontal="right"/>
    </xf>
    <xf numFmtId="1" fontId="12" fillId="0" borderId="0" xfId="4" applyNumberFormat="1" applyFont="1" applyFill="1" applyAlignment="1">
      <alignment horizontal="right"/>
    </xf>
    <xf numFmtId="0" fontId="13" fillId="0" borderId="0" xfId="1" applyFont="1" applyFill="1" applyAlignment="1">
      <alignment vertical="top"/>
    </xf>
    <xf numFmtId="7" fontId="14" fillId="0" borderId="0" xfId="1" applyNumberFormat="1" applyFont="1" applyFill="1" applyAlignment="1">
      <alignment vertical="top"/>
    </xf>
    <xf numFmtId="0" fontId="13" fillId="0" borderId="0" xfId="1" applyFont="1" applyFill="1"/>
    <xf numFmtId="0" fontId="13" fillId="0" borderId="0" xfId="2" applyNumberFormat="1" applyFont="1" applyFill="1"/>
    <xf numFmtId="0" fontId="13" fillId="0" borderId="0" xfId="1" applyNumberFormat="1" applyFont="1" applyFill="1"/>
    <xf numFmtId="0" fontId="5" fillId="0" borderId="0" xfId="0" applyFont="1" applyFill="1" applyAlignment="1">
      <alignment vertical="top"/>
    </xf>
    <xf numFmtId="0" fontId="5" fillId="10" borderId="0" xfId="0" applyFont="1" applyFill="1"/>
    <xf numFmtId="0" fontId="14" fillId="0" borderId="0" xfId="1" applyFont="1" applyFill="1" applyAlignment="1">
      <alignment vertical="top"/>
    </xf>
    <xf numFmtId="0" fontId="14" fillId="0" borderId="0" xfId="1" applyNumberFormat="1" applyFont="1" applyFill="1" applyAlignment="1">
      <alignment vertical="top"/>
    </xf>
    <xf numFmtId="44" fontId="2" fillId="0" borderId="0" xfId="2" applyNumberFormat="1" applyFont="1" applyFill="1" applyAlignment="1">
      <alignment vertical="top"/>
    </xf>
    <xf numFmtId="0" fontId="0" fillId="11" borderId="0" xfId="0" applyFill="1"/>
    <xf numFmtId="0" fontId="0" fillId="12" borderId="0" xfId="0" applyFill="1"/>
    <xf numFmtId="0" fontId="15" fillId="0" borderId="0" xfId="5" applyAlignment="1">
      <alignment horizontal="center"/>
    </xf>
    <xf numFmtId="0" fontId="0" fillId="13" borderId="0" xfId="0" applyFill="1"/>
    <xf numFmtId="169" fontId="0" fillId="14" borderId="0" xfId="0" applyNumberFormat="1" applyFill="1"/>
    <xf numFmtId="0" fontId="0" fillId="14" borderId="0" xfId="0" applyFill="1"/>
    <xf numFmtId="0" fontId="0" fillId="15" borderId="0" xfId="0" applyFill="1"/>
    <xf numFmtId="0" fontId="16" fillId="15" borderId="0" xfId="0" applyFont="1" applyFill="1"/>
    <xf numFmtId="0" fontId="0" fillId="16" borderId="0" xfId="0" applyFill="1"/>
    <xf numFmtId="0" fontId="0" fillId="10" borderId="0" xfId="0" applyFill="1"/>
  </cellXfs>
  <cellStyles count="6">
    <cellStyle name="Énfasis1" xfId="3" builtinId="29"/>
    <cellStyle name="Normal" xfId="0" builtinId="0"/>
    <cellStyle name="Normal 5" xfId="1" xr:uid="{1E0CE868-4AE5-4300-BD59-8ACEC6C8ADAB}"/>
    <cellStyle name="Normal 5 2" xfId="2" xr:uid="{289EAA2A-35F2-4A79-9FB1-009B186369C7}"/>
    <cellStyle name="Normal_Hoja1" xfId="4" xr:uid="{A05435EF-8F99-4CEF-ABDD-07034C3C17A1}"/>
    <cellStyle name="Título" xfId="5" builtinId="15"/>
  </cellStyles>
  <dxfs count="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_-* #,##0\ _€_-;\-* #,##0\ _€_-;_-* &quot;-&quot;??\ _€_-;_-@_-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164" formatCode="d/m/yy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m/d/yyyy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B617F6-CE8C-4D21-ABE8-13CE83FCC14A}" name="Tabla3" displayName="Tabla3" ref="A1:N570" totalsRowShown="0" headerRowDxfId="61" dataDxfId="60" headerRowCellStyle="Énfasis1">
  <autoFilter ref="A1:N570" xr:uid="{C0F47289-68DF-411B-88A1-FA05F2AD1C5E}"/>
  <tableColumns count="14">
    <tableColumn id="1" xr3:uid="{14A37C15-4978-4209-B4F8-A53C524794D0}" name="N" dataDxfId="59"/>
    <tableColumn id="2" xr3:uid="{344A156A-1909-49BC-B677-89E37F926465}" name="Sorteo" dataDxfId="58"/>
    <tableColumn id="3" xr3:uid="{63F96CF3-5D86-4BB8-B9AD-0CAB852328CA}" name="Fecha" dataDxfId="57" dataCellStyle="Normal_Hoja1"/>
    <tableColumn id="4" xr3:uid="{A8DF30F7-6DDF-43F0-AD49-2CEDD138266B}" name="Dia" dataDxfId="56">
      <calculatedColumnFormula>CHOOSE(WEEKDAY(C2),"D","L","M","X","J","V","S")</calculatedColumnFormula>
    </tableColumn>
    <tableColumn id="5" xr3:uid="{CD215326-97BA-402A-9863-54F3271CD363}" name="Sem" dataDxfId="55">
      <calculatedColumnFormula>WEEKNUM(C2,21)</calculatedColumnFormula>
    </tableColumn>
    <tableColumn id="6" xr3:uid="{522AD24C-6B28-4825-91F8-416203387714}" name="Orden" dataDxfId="54"/>
    <tableColumn id="7" xr3:uid="{9D7795CE-746F-44EA-96D2-EB27B2BF6C50}" name="N1" dataDxfId="53"/>
    <tableColumn id="8" xr3:uid="{228ED690-45E7-4345-9356-C8DE45DF89A9}" name="N2" dataDxfId="52"/>
    <tableColumn id="9" xr3:uid="{BED42742-9C30-42B8-B981-A7594B8E2925}" name="N3" dataDxfId="51"/>
    <tableColumn id="10" xr3:uid="{B3B2EB39-6C48-408C-870D-91DF6E511F79}" name="N4" dataDxfId="50"/>
    <tableColumn id="11" xr3:uid="{844265CF-A757-444A-AAAD-07055D49FD9C}" name="N5" dataDxfId="49"/>
    <tableColumn id="12" xr3:uid="{78B752F7-47CA-4C69-A214-CFBFFC344DB5}" name="E1" dataDxfId="48"/>
    <tableColumn id="13" xr3:uid="{9B0DE8EF-6CE1-46C4-96ED-416177BEC23A}" name="E2" dataDxfId="47"/>
    <tableColumn id="14" xr3:uid="{A6967A48-1CE1-462F-B24E-1376BE04A249}" name="ElMillon" dataDxfId="46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7B60A6-5A4C-4F2C-9AEC-E4514CF68B6E}" name="Tabla25" displayName="Tabla25" ref="A1:P48" totalsRowShown="0" headerRowDxfId="45" dataDxfId="44">
  <autoFilter ref="A1:P48" xr:uid="{088838B8-8FDD-425A-9371-60A6E12238FE}"/>
  <tableColumns count="16">
    <tableColumn id="1" xr3:uid="{ACFE50E7-BFAB-41A9-B881-4916A07FF2E9}" name="Id" dataDxfId="43"/>
    <tableColumn id="2" xr3:uid="{9A6E8558-6495-4EC1-BCA8-3CFC8509D5F5}" name="Sem" dataDxfId="42" dataCellStyle="Normal 5">
      <calculatedColumnFormula>WEEKNUM(D2,21)</calculatedColumnFormula>
    </tableColumn>
    <tableColumn id="3" xr3:uid="{4ED95A8A-1D86-4334-A4E8-515DAF9DA482}" name="Juego" dataDxfId="41"/>
    <tableColumn id="4" xr3:uid="{8687C09E-9D0C-44A0-AD65-302D9E623E92}" name="Fecha" dataDxfId="40"/>
    <tableColumn id="5" xr3:uid="{7AB271D2-12F2-4B95-B0AB-9F90861E93AB}" name="Fecha Hasta" dataDxfId="39"/>
    <tableColumn id="6" xr3:uid="{0C8A48F0-A9BA-434A-A385-761D35FB1C81}" name="Semanal" dataDxfId="38"/>
    <tableColumn id="7" xr3:uid="{D0E5A39C-E3A7-44F7-9A5A-E7AA1157B832}" name="Reintegro" dataDxfId="37"/>
    <tableColumn id="14" xr3:uid="{22010722-19A0-44AF-8EBA-EF3C1A51949A}" name="ElMillon" dataDxfId="36" dataCellStyle="Normal 5 2"/>
    <tableColumn id="15" xr3:uid="{4E1264FB-45DD-48D2-88C3-FD1F40849527}" name="Joker" dataDxfId="35" dataCellStyle="Normal 5 2"/>
    <tableColumn id="8" xr3:uid="{7C7FAB05-ABF8-442A-AE2B-F8EAD7061B5C}" name="Apuestas" dataDxfId="34"/>
    <tableColumn id="9" xr3:uid="{F825FD12-0B0E-4FF1-85EB-30C080436DC1}" name="Coste" dataDxfId="33">
      <calculatedColumnFormula>IF(C2="GP",J2*1.5,IF(C2="LP",J2*1,IF(C2="EU",J2*2.5,J2*0.5)))</calculatedColumnFormula>
    </tableColumn>
    <tableColumn id="16" xr3:uid="{6AD5171B-EF3E-45F6-B010-98F2B4C885F6}" name="CategoriaPremio" dataDxfId="32" dataCellStyle="Normal 5 2"/>
    <tableColumn id="10" xr3:uid="{B7A367D0-C9BC-4BE1-BF39-E69F1B814DB1}" name="Premios" dataDxfId="31"/>
    <tableColumn id="11" xr3:uid="{9958A3C2-AF08-413E-8121-8D69842B98BB}" name="Reintegros" dataDxfId="30"/>
    <tableColumn id="12" xr3:uid="{75EC2CA4-6212-44E9-9E51-6872D727C53F}" name="Dia" dataDxfId="29">
      <calculatedColumnFormula>CHOOSE(WEEKDAY(D2),"D","L","M","X","J","V","S")</calculatedColumnFormula>
    </tableColumn>
    <tableColumn id="13" xr3:uid="{FA9DB746-F736-4997-BF71-7EF509B8681D}" name="Notas" dataDxfId="2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F54848-CDF4-494F-93C8-1503C0906648}" name="Tabla167" displayName="Tabla167" ref="A1:Y48" totalsRowShown="0" headerRowDxfId="27" dataDxfId="25" headerRowBorderDxfId="26">
  <autoFilter ref="A1:Y48" xr:uid="{C7614325-B3CA-4C30-B816-2EE7684F7D90}"/>
  <sortState ref="A2:Y2">
    <sortCondition ref="C1:C2"/>
  </sortState>
  <tableColumns count="25">
    <tableColumn id="1" xr3:uid="{77C6C3CC-7E12-404C-A8E5-36AF0AE87DB3}" name="Id" dataDxfId="24"/>
    <tableColumn id="2" xr3:uid="{F3057058-2343-40F3-84C2-96D529B96BA4}" name="idBoleto" dataDxfId="23"/>
    <tableColumn id="3" xr3:uid="{9743E467-0141-4B6F-A244-793B1AAA84A6}" name="Fecha" dataDxfId="22"/>
    <tableColumn id="19" xr3:uid="{D7E7FCFB-60F5-40B3-BD55-FB7ADBF83717}" name="Juego" dataDxfId="21" dataCellStyle="Normal 5"/>
    <tableColumn id="16" xr3:uid="{D0103A57-5375-4C16-9297-80DA2C577DD2}" name="Semana" dataDxfId="20" dataCellStyle="Normal 5 2">
      <calculatedColumnFormula>WEEKNUM(Tabla167[[#This Row],[Fecha]],21)</calculatedColumnFormula>
    </tableColumn>
    <tableColumn id="4" xr3:uid="{B7316BE1-D97B-44B9-8DC9-038A3FCA4DAC}" name="N1" dataDxfId="19" dataCellStyle="Normal 5"/>
    <tableColumn id="5" xr3:uid="{10231293-566A-4F59-8408-D4B9BDA64BC6}" name="N2" dataDxfId="18" dataCellStyle="Normal 5"/>
    <tableColumn id="6" xr3:uid="{818CD53A-0455-4C08-9AD8-87FE0FBF38EA}" name="N3" dataDxfId="17" dataCellStyle="Normal 5"/>
    <tableColumn id="7" xr3:uid="{5A10DFC6-B0C9-4A1A-AED8-361A5B0103F1}" name="N4" dataDxfId="16" dataCellStyle="Normal 5"/>
    <tableColumn id="8" xr3:uid="{BCD92CE4-ED95-4E0C-B390-74A00B3D4C15}" name="N5" dataDxfId="15" dataCellStyle="Normal 5"/>
    <tableColumn id="9" xr3:uid="{CE8E01A6-E2E1-4532-9BA5-7F049F507AE5}" name="N6" dataDxfId="14" dataCellStyle="Normal 5"/>
    <tableColumn id="10" xr3:uid="{25B0BF5D-F62C-40B8-A69A-F36911EA522A}" name="N7" dataDxfId="13"/>
    <tableColumn id="11" xr3:uid="{FE6FFA9D-F409-4C62-962C-D30B40941FB9}" name="N8" dataDxfId="12"/>
    <tableColumn id="12" xr3:uid="{2A912B76-8DA6-4483-8141-47D670351AEC}" name="N9" dataDxfId="11"/>
    <tableColumn id="20" xr3:uid="{39053449-8E0E-4128-AB85-ECADDBAECEA2}" name="N10" dataDxfId="10" dataCellStyle="Normal 5 2"/>
    <tableColumn id="21" xr3:uid="{A68DFE10-8058-46EE-AD5D-7D465D4C1813}" name="E1" dataDxfId="9" dataCellStyle="Normal 5 2"/>
    <tableColumn id="22" xr3:uid="{E549D074-003D-44D4-A0A9-5E92E725009B}" name="E2" dataDxfId="8" dataCellStyle="Normal 5 2"/>
    <tableColumn id="23" xr3:uid="{76BCD6BB-A049-46AA-B1E9-233C565A2253}" name="E3" dataDxfId="7" dataCellStyle="Normal 5 2"/>
    <tableColumn id="24" xr3:uid="{7D5F3824-9570-432F-999A-54D2847EAFC5}" name="E4" dataDxfId="6" dataCellStyle="Normal 5 2"/>
    <tableColumn id="25" xr3:uid="{CB7643ED-7D00-4C5A-896C-DF24C8955CE4}" name="E5" dataDxfId="5" dataCellStyle="Normal 5 2"/>
    <tableColumn id="13" xr3:uid="{3DC61D45-8576-4D3A-A94F-873BA2EA3D86}" name="Aciertos" dataDxfId="4"/>
    <tableColumn id="14" xr3:uid="{4CAC716D-C85D-4C2C-85EA-68F86D56C700}" name="Metodo" dataDxfId="3"/>
    <tableColumn id="17" xr3:uid="{F36A5ECC-93B1-4782-857E-5427EE6FAE6C}" name="Coste" dataDxfId="2"/>
    <tableColumn id="18" xr3:uid="{0169115D-DEAC-4031-9E00-6E4E9D76118E}" name="Premio" dataDxfId="1"/>
    <tableColumn id="15" xr3:uid="{24477331-92C8-41D1-A783-6EF8968E1BE8}" name="Acierto" dataDxfId="0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D41F90B-5C4E-4273-9F8B-1EA1C641EEB1}" name="Tabla1" displayName="Tabla1" ref="A1:M13" totalsRowShown="0">
  <autoFilter ref="A1:M13" xr:uid="{BF2E1D1B-403A-43E2-B27E-0FB3962810D4}"/>
  <sortState ref="A2:M2">
    <sortCondition ref="A1:A2"/>
  </sortState>
  <tableColumns count="13">
    <tableColumn id="1" xr3:uid="{A82F260D-0274-4EAA-B5A2-672B8458F5C3}" name="Id"/>
    <tableColumn id="2" xr3:uid="{7B1FA853-2EE0-4C58-B487-289B3F26B5A8}" name="TipoProcedimiento"/>
    <tableColumn id="4" xr3:uid="{57147B3C-2D09-40C9-A8D5-D7505EB9E5F4}" name="Pronosticos"/>
    <tableColumn id="5" xr3:uid="{257A31B1-ABCA-49F8-ABA9-FBFF8904D429}" name="ModalidadJuego"/>
    <tableColumn id="6" xr3:uid="{97E1FC4D-9F0E-4133-A5F0-6C3D1C5916B6}" name="CriterioOrdenacion"/>
    <tableColumn id="7" xr3:uid="{40F1370E-3449-4CA5-BAA7-4CBEE6786EFB}" name="SentidoOrdenacion"/>
    <tableColumn id="8" xr3:uid="{944B4BBA-DF53-4C5A-8A3D-7728AECF70C6}" name="CriterioAgrupacion"/>
    <tableColumn id="9" xr3:uid="{4948F6D5-7799-4814-9833-103DFBCA21B1}" name="TipoMuestra"/>
    <tableColumn id="10" xr3:uid="{E7613EA5-31F9-4786-A09C-FC4DCB9840CB}" name="NumeroSorteos"/>
    <tableColumn id="11" xr3:uid="{2A985825-AEFA-4249-9744-95CEEFF48437}" name="DiasAnalisis"/>
    <tableColumn id="3" xr3:uid="{7E3DDB3E-1736-4228-8B46-D70068693172}" name="FiltrosCombinacion"/>
    <tableColumn id="12" xr3:uid="{5B8DA707-011F-4875-843B-E1EF5F587333}" name="FechaAlta"/>
    <tableColumn id="14" xr3:uid="{51BE4E8F-DFEF-4BAB-871D-7BE14C9CCB66}" name="FechaModifica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570"/>
  <sheetViews>
    <sheetView topLeftCell="A545" workbookViewId="0">
      <selection activeCell="C570" sqref="C570"/>
    </sheetView>
  </sheetViews>
  <sheetFormatPr baseColWidth="10" defaultColWidth="9.140625" defaultRowHeight="15" x14ac:dyDescent="0.25"/>
  <cols>
    <col min="1" max="2" width="9.140625" style="58"/>
    <col min="3" max="3" width="10.7109375" style="58" bestFit="1" customWidth="1"/>
    <col min="4" max="13" width="9.140625" style="58"/>
    <col min="14" max="14" width="13" style="58" bestFit="1" customWidth="1"/>
    <col min="15" max="16384" width="9.140625" style="58"/>
  </cols>
  <sheetData>
    <row r="1" spans="1:14" x14ac:dyDescent="0.25">
      <c r="A1" s="54" t="s">
        <v>0</v>
      </c>
      <c r="B1" s="55" t="s">
        <v>70</v>
      </c>
      <c r="C1" s="55" t="s">
        <v>1</v>
      </c>
      <c r="D1" s="56" t="s">
        <v>2</v>
      </c>
      <c r="E1" s="56" t="s">
        <v>3</v>
      </c>
      <c r="F1" s="56" t="s">
        <v>71</v>
      </c>
      <c r="G1" s="56" t="s">
        <v>4</v>
      </c>
      <c r="H1" s="56" t="s">
        <v>5</v>
      </c>
      <c r="I1" s="56" t="s">
        <v>6</v>
      </c>
      <c r="J1" s="56" t="s">
        <v>7</v>
      </c>
      <c r="K1" s="56" t="s">
        <v>8</v>
      </c>
      <c r="L1" s="56" t="s">
        <v>72</v>
      </c>
      <c r="M1" s="55" t="s">
        <v>73</v>
      </c>
      <c r="N1" s="57" t="s">
        <v>74</v>
      </c>
    </row>
    <row r="2" spans="1:14" x14ac:dyDescent="0.25">
      <c r="A2" s="45">
        <v>708</v>
      </c>
      <c r="B2" s="45" t="s">
        <v>75</v>
      </c>
      <c r="C2" s="59">
        <v>42006</v>
      </c>
      <c r="D2" s="46" t="str">
        <f t="shared" ref="D2:D65" si="0">CHOOSE(WEEKDAY(C2),"D","L","M","X","J","V","S")</f>
        <v>V</v>
      </c>
      <c r="E2" s="61">
        <f t="shared" ref="E2:E65" si="1">WEEKNUM(C2,21)</f>
        <v>1</v>
      </c>
      <c r="F2" s="45" t="s">
        <v>76</v>
      </c>
      <c r="G2" s="51">
        <v>24</v>
      </c>
      <c r="H2" s="51">
        <v>25</v>
      </c>
      <c r="I2" s="51">
        <v>49</v>
      </c>
      <c r="J2" s="51">
        <v>28</v>
      </c>
      <c r="K2" s="51">
        <v>22</v>
      </c>
      <c r="L2" s="51">
        <v>3</v>
      </c>
      <c r="M2" s="51">
        <v>6</v>
      </c>
      <c r="N2" s="60"/>
    </row>
    <row r="3" spans="1:14" x14ac:dyDescent="0.25">
      <c r="A3" s="45">
        <v>709</v>
      </c>
      <c r="B3" s="45" t="s">
        <v>77</v>
      </c>
      <c r="C3" s="59">
        <v>42010</v>
      </c>
      <c r="D3" s="46" t="str">
        <f t="shared" si="0"/>
        <v>M</v>
      </c>
      <c r="E3" s="61">
        <f t="shared" si="1"/>
        <v>2</v>
      </c>
      <c r="F3" s="45" t="s">
        <v>76</v>
      </c>
      <c r="G3" s="51">
        <v>20</v>
      </c>
      <c r="H3" s="51">
        <v>38</v>
      </c>
      <c r="I3" s="51">
        <v>30</v>
      </c>
      <c r="J3" s="51">
        <v>14</v>
      </c>
      <c r="K3" s="51">
        <v>49</v>
      </c>
      <c r="L3" s="51">
        <v>4</v>
      </c>
      <c r="M3" s="51">
        <v>3</v>
      </c>
      <c r="N3" s="60"/>
    </row>
    <row r="4" spans="1:14" x14ac:dyDescent="0.25">
      <c r="A4" s="45">
        <v>710</v>
      </c>
      <c r="B4" s="45" t="s">
        <v>78</v>
      </c>
      <c r="C4" s="59">
        <v>42013</v>
      </c>
      <c r="D4" s="46" t="str">
        <f t="shared" si="0"/>
        <v>V</v>
      </c>
      <c r="E4" s="61">
        <f t="shared" si="1"/>
        <v>2</v>
      </c>
      <c r="F4" s="45" t="s">
        <v>76</v>
      </c>
      <c r="G4" s="51">
        <v>6</v>
      </c>
      <c r="H4" s="51">
        <v>32</v>
      </c>
      <c r="I4" s="51">
        <v>45</v>
      </c>
      <c r="J4" s="51">
        <v>21</v>
      </c>
      <c r="K4" s="51">
        <v>24</v>
      </c>
      <c r="L4" s="51">
        <v>1</v>
      </c>
      <c r="M4" s="51">
        <v>11</v>
      </c>
      <c r="N4" s="60"/>
    </row>
    <row r="5" spans="1:14" x14ac:dyDescent="0.25">
      <c r="A5" s="45">
        <v>711</v>
      </c>
      <c r="B5" s="45" t="s">
        <v>79</v>
      </c>
      <c r="C5" s="59">
        <v>42017</v>
      </c>
      <c r="D5" s="46" t="str">
        <f t="shared" si="0"/>
        <v>M</v>
      </c>
      <c r="E5" s="61">
        <f t="shared" si="1"/>
        <v>3</v>
      </c>
      <c r="F5" s="45" t="s">
        <v>76</v>
      </c>
      <c r="G5" s="51">
        <v>34</v>
      </c>
      <c r="H5" s="51">
        <v>31</v>
      </c>
      <c r="I5" s="51">
        <v>21</v>
      </c>
      <c r="J5" s="51">
        <v>8</v>
      </c>
      <c r="K5" s="51">
        <v>17</v>
      </c>
      <c r="L5" s="51">
        <v>10</v>
      </c>
      <c r="M5" s="51">
        <v>9</v>
      </c>
      <c r="N5" s="60"/>
    </row>
    <row r="6" spans="1:14" x14ac:dyDescent="0.25">
      <c r="A6" s="45">
        <v>712</v>
      </c>
      <c r="B6" s="45" t="s">
        <v>80</v>
      </c>
      <c r="C6" s="59">
        <v>42020</v>
      </c>
      <c r="D6" s="46" t="str">
        <f t="shared" si="0"/>
        <v>V</v>
      </c>
      <c r="E6" s="61">
        <f t="shared" si="1"/>
        <v>3</v>
      </c>
      <c r="F6" s="45" t="s">
        <v>76</v>
      </c>
      <c r="G6" s="51">
        <v>34</v>
      </c>
      <c r="H6" s="51">
        <v>32</v>
      </c>
      <c r="I6" s="51">
        <v>29</v>
      </c>
      <c r="J6" s="51">
        <v>30</v>
      </c>
      <c r="K6" s="51">
        <v>46</v>
      </c>
      <c r="L6" s="51">
        <v>6</v>
      </c>
      <c r="M6" s="51">
        <v>3</v>
      </c>
      <c r="N6" s="60"/>
    </row>
    <row r="7" spans="1:14" x14ac:dyDescent="0.25">
      <c r="A7" s="45">
        <v>713</v>
      </c>
      <c r="B7" s="45" t="s">
        <v>81</v>
      </c>
      <c r="C7" s="59">
        <v>42024</v>
      </c>
      <c r="D7" s="46" t="str">
        <f t="shared" si="0"/>
        <v>M</v>
      </c>
      <c r="E7" s="61">
        <f t="shared" si="1"/>
        <v>4</v>
      </c>
      <c r="F7" s="45" t="s">
        <v>76</v>
      </c>
      <c r="G7" s="51">
        <v>33</v>
      </c>
      <c r="H7" s="51">
        <v>47</v>
      </c>
      <c r="I7" s="51">
        <v>15</v>
      </c>
      <c r="J7" s="51">
        <v>41</v>
      </c>
      <c r="K7" s="51">
        <v>44</v>
      </c>
      <c r="L7" s="51">
        <v>10</v>
      </c>
      <c r="M7" s="51">
        <v>8</v>
      </c>
      <c r="N7" s="60"/>
    </row>
    <row r="8" spans="1:14" x14ac:dyDescent="0.25">
      <c r="A8" s="45">
        <v>714</v>
      </c>
      <c r="B8" s="45" t="s">
        <v>82</v>
      </c>
      <c r="C8" s="59">
        <v>42027</v>
      </c>
      <c r="D8" s="46" t="str">
        <f t="shared" si="0"/>
        <v>V</v>
      </c>
      <c r="E8" s="61">
        <f t="shared" si="1"/>
        <v>4</v>
      </c>
      <c r="F8" s="45" t="s">
        <v>76</v>
      </c>
      <c r="G8" s="51">
        <v>30</v>
      </c>
      <c r="H8" s="51">
        <v>45</v>
      </c>
      <c r="I8" s="51">
        <v>29</v>
      </c>
      <c r="J8" s="51">
        <v>38</v>
      </c>
      <c r="K8" s="51">
        <v>6</v>
      </c>
      <c r="L8" s="51">
        <v>8</v>
      </c>
      <c r="M8" s="51">
        <v>1</v>
      </c>
      <c r="N8" s="60"/>
    </row>
    <row r="9" spans="1:14" x14ac:dyDescent="0.25">
      <c r="A9" s="45">
        <v>715</v>
      </c>
      <c r="B9" s="45" t="s">
        <v>83</v>
      </c>
      <c r="C9" s="59">
        <v>42031</v>
      </c>
      <c r="D9" s="46" t="str">
        <f t="shared" si="0"/>
        <v>M</v>
      </c>
      <c r="E9" s="61">
        <f t="shared" si="1"/>
        <v>5</v>
      </c>
      <c r="F9" s="45" t="s">
        <v>76</v>
      </c>
      <c r="G9" s="51">
        <v>10</v>
      </c>
      <c r="H9" s="51">
        <v>33</v>
      </c>
      <c r="I9" s="51">
        <v>5</v>
      </c>
      <c r="J9" s="51">
        <v>31</v>
      </c>
      <c r="K9" s="51">
        <v>40</v>
      </c>
      <c r="L9" s="51">
        <v>10</v>
      </c>
      <c r="M9" s="51">
        <v>8</v>
      </c>
      <c r="N9" s="60"/>
    </row>
    <row r="10" spans="1:14" x14ac:dyDescent="0.25">
      <c r="A10" s="45">
        <v>716</v>
      </c>
      <c r="B10" s="45" t="s">
        <v>84</v>
      </c>
      <c r="C10" s="59">
        <v>42034</v>
      </c>
      <c r="D10" s="46" t="str">
        <f t="shared" si="0"/>
        <v>V</v>
      </c>
      <c r="E10" s="61">
        <f t="shared" si="1"/>
        <v>5</v>
      </c>
      <c r="F10" s="45" t="s">
        <v>76</v>
      </c>
      <c r="G10" s="51">
        <v>9</v>
      </c>
      <c r="H10" s="51">
        <v>24</v>
      </c>
      <c r="I10" s="51">
        <v>15</v>
      </c>
      <c r="J10" s="51">
        <v>13</v>
      </c>
      <c r="K10" s="51">
        <v>19</v>
      </c>
      <c r="L10" s="51">
        <v>3</v>
      </c>
      <c r="M10" s="51">
        <v>8</v>
      </c>
      <c r="N10" s="60"/>
    </row>
    <row r="11" spans="1:14" x14ac:dyDescent="0.25">
      <c r="A11" s="45">
        <v>717</v>
      </c>
      <c r="B11" s="45" t="s">
        <v>85</v>
      </c>
      <c r="C11" s="59">
        <v>42038</v>
      </c>
      <c r="D11" s="46" t="str">
        <f t="shared" si="0"/>
        <v>M</v>
      </c>
      <c r="E11" s="61">
        <f t="shared" si="1"/>
        <v>6</v>
      </c>
      <c r="F11" s="45" t="s">
        <v>76</v>
      </c>
      <c r="G11" s="51">
        <v>50</v>
      </c>
      <c r="H11" s="51">
        <v>44</v>
      </c>
      <c r="I11" s="51">
        <v>17</v>
      </c>
      <c r="J11" s="51">
        <v>31</v>
      </c>
      <c r="K11" s="51">
        <v>33</v>
      </c>
      <c r="L11" s="51">
        <v>11</v>
      </c>
      <c r="M11" s="51">
        <v>7</v>
      </c>
      <c r="N11" s="60"/>
    </row>
    <row r="12" spans="1:14" x14ac:dyDescent="0.25">
      <c r="A12" s="45">
        <v>718</v>
      </c>
      <c r="B12" s="45" t="s">
        <v>86</v>
      </c>
      <c r="C12" s="59">
        <v>42041</v>
      </c>
      <c r="D12" s="46" t="str">
        <f t="shared" si="0"/>
        <v>V</v>
      </c>
      <c r="E12" s="61">
        <f t="shared" si="1"/>
        <v>6</v>
      </c>
      <c r="F12" s="45" t="s">
        <v>76</v>
      </c>
      <c r="G12" s="51">
        <v>50</v>
      </c>
      <c r="H12" s="51">
        <v>30</v>
      </c>
      <c r="I12" s="51">
        <v>10</v>
      </c>
      <c r="J12" s="51">
        <v>26</v>
      </c>
      <c r="K12" s="51">
        <v>39</v>
      </c>
      <c r="L12" s="51">
        <v>8</v>
      </c>
      <c r="M12" s="51">
        <v>7</v>
      </c>
      <c r="N12" s="60"/>
    </row>
    <row r="13" spans="1:14" x14ac:dyDescent="0.25">
      <c r="A13" s="45">
        <v>719</v>
      </c>
      <c r="B13" s="45" t="s">
        <v>87</v>
      </c>
      <c r="C13" s="59">
        <v>42045</v>
      </c>
      <c r="D13" s="46" t="str">
        <f t="shared" si="0"/>
        <v>M</v>
      </c>
      <c r="E13" s="61">
        <f t="shared" si="1"/>
        <v>7</v>
      </c>
      <c r="F13" s="45" t="s">
        <v>76</v>
      </c>
      <c r="G13" s="51">
        <v>30</v>
      </c>
      <c r="H13" s="51">
        <v>45</v>
      </c>
      <c r="I13" s="51">
        <v>20</v>
      </c>
      <c r="J13" s="51">
        <v>13</v>
      </c>
      <c r="K13" s="51">
        <v>17</v>
      </c>
      <c r="L13" s="51">
        <v>9</v>
      </c>
      <c r="M13" s="51">
        <v>10</v>
      </c>
      <c r="N13" s="60"/>
    </row>
    <row r="14" spans="1:14" x14ac:dyDescent="0.25">
      <c r="A14" s="45">
        <v>720</v>
      </c>
      <c r="B14" s="45" t="s">
        <v>88</v>
      </c>
      <c r="C14" s="59">
        <v>42048</v>
      </c>
      <c r="D14" s="46" t="str">
        <f t="shared" si="0"/>
        <v>V</v>
      </c>
      <c r="E14" s="61">
        <f t="shared" si="1"/>
        <v>7</v>
      </c>
      <c r="F14" s="45" t="s">
        <v>76</v>
      </c>
      <c r="G14" s="51">
        <v>24</v>
      </c>
      <c r="H14" s="51">
        <v>12</v>
      </c>
      <c r="I14" s="51">
        <v>39</v>
      </c>
      <c r="J14" s="51">
        <v>44</v>
      </c>
      <c r="K14" s="51">
        <v>42</v>
      </c>
      <c r="L14" s="51">
        <v>3</v>
      </c>
      <c r="M14" s="51">
        <v>11</v>
      </c>
      <c r="N14" s="60"/>
    </row>
    <row r="15" spans="1:14" x14ac:dyDescent="0.25">
      <c r="A15" s="45">
        <v>721</v>
      </c>
      <c r="B15" s="45" t="s">
        <v>89</v>
      </c>
      <c r="C15" s="59">
        <v>42052</v>
      </c>
      <c r="D15" s="46" t="str">
        <f t="shared" si="0"/>
        <v>M</v>
      </c>
      <c r="E15" s="61">
        <f t="shared" si="1"/>
        <v>8</v>
      </c>
      <c r="F15" s="45" t="s">
        <v>76</v>
      </c>
      <c r="G15" s="51">
        <v>5</v>
      </c>
      <c r="H15" s="51">
        <v>2</v>
      </c>
      <c r="I15" s="51">
        <v>18</v>
      </c>
      <c r="J15" s="51">
        <v>43</v>
      </c>
      <c r="K15" s="51">
        <v>30</v>
      </c>
      <c r="L15" s="51">
        <v>10</v>
      </c>
      <c r="M15" s="51">
        <v>1</v>
      </c>
      <c r="N15" s="60"/>
    </row>
    <row r="16" spans="1:14" x14ac:dyDescent="0.25">
      <c r="A16" s="45">
        <v>722</v>
      </c>
      <c r="B16" s="45" t="s">
        <v>90</v>
      </c>
      <c r="C16" s="59">
        <v>42055</v>
      </c>
      <c r="D16" s="46" t="str">
        <f t="shared" si="0"/>
        <v>V</v>
      </c>
      <c r="E16" s="61">
        <f t="shared" si="1"/>
        <v>8</v>
      </c>
      <c r="F16" s="45" t="s">
        <v>76</v>
      </c>
      <c r="G16" s="51">
        <v>37</v>
      </c>
      <c r="H16" s="51">
        <v>46</v>
      </c>
      <c r="I16" s="51">
        <v>10</v>
      </c>
      <c r="J16" s="51">
        <v>4</v>
      </c>
      <c r="K16" s="51">
        <v>14</v>
      </c>
      <c r="L16" s="51">
        <v>4</v>
      </c>
      <c r="M16" s="51">
        <v>7</v>
      </c>
      <c r="N16" s="60"/>
    </row>
    <row r="17" spans="1:14" x14ac:dyDescent="0.25">
      <c r="A17" s="45">
        <v>723</v>
      </c>
      <c r="B17" s="45" t="s">
        <v>91</v>
      </c>
      <c r="C17" s="59">
        <v>42059</v>
      </c>
      <c r="D17" s="46" t="str">
        <f t="shared" si="0"/>
        <v>M</v>
      </c>
      <c r="E17" s="61">
        <f t="shared" si="1"/>
        <v>9</v>
      </c>
      <c r="F17" s="45" t="s">
        <v>76</v>
      </c>
      <c r="G17" s="51">
        <v>3</v>
      </c>
      <c r="H17" s="51">
        <v>28</v>
      </c>
      <c r="I17" s="51">
        <v>25</v>
      </c>
      <c r="J17" s="51">
        <v>34</v>
      </c>
      <c r="K17" s="51">
        <v>50</v>
      </c>
      <c r="L17" s="51">
        <v>1</v>
      </c>
      <c r="M17" s="51">
        <v>11</v>
      </c>
      <c r="N17" s="60"/>
    </row>
    <row r="18" spans="1:14" x14ac:dyDescent="0.25">
      <c r="A18" s="45">
        <v>724</v>
      </c>
      <c r="B18" s="45" t="s">
        <v>92</v>
      </c>
      <c r="C18" s="59">
        <v>42062</v>
      </c>
      <c r="D18" s="46" t="str">
        <f t="shared" si="0"/>
        <v>V</v>
      </c>
      <c r="E18" s="61">
        <f t="shared" si="1"/>
        <v>9</v>
      </c>
      <c r="F18" s="45" t="s">
        <v>76</v>
      </c>
      <c r="G18" s="51">
        <v>17</v>
      </c>
      <c r="H18" s="51">
        <v>25</v>
      </c>
      <c r="I18" s="51">
        <v>14</v>
      </c>
      <c r="J18" s="51">
        <v>5</v>
      </c>
      <c r="K18" s="51">
        <v>47</v>
      </c>
      <c r="L18" s="51">
        <v>10</v>
      </c>
      <c r="M18" s="51">
        <v>9</v>
      </c>
      <c r="N18" s="60"/>
    </row>
    <row r="19" spans="1:14" x14ac:dyDescent="0.25">
      <c r="A19" s="45">
        <v>725</v>
      </c>
      <c r="B19" s="45" t="s">
        <v>93</v>
      </c>
      <c r="C19" s="59">
        <v>42066</v>
      </c>
      <c r="D19" s="46" t="str">
        <f t="shared" si="0"/>
        <v>M</v>
      </c>
      <c r="E19" s="61">
        <f t="shared" si="1"/>
        <v>10</v>
      </c>
      <c r="F19" s="45" t="s">
        <v>76</v>
      </c>
      <c r="G19" s="51">
        <v>6</v>
      </c>
      <c r="H19" s="51">
        <v>21</v>
      </c>
      <c r="I19" s="51">
        <v>13</v>
      </c>
      <c r="J19" s="51">
        <v>8</v>
      </c>
      <c r="K19" s="51">
        <v>11</v>
      </c>
      <c r="L19" s="51">
        <v>8</v>
      </c>
      <c r="M19" s="51">
        <v>7</v>
      </c>
      <c r="N19" s="60"/>
    </row>
    <row r="20" spans="1:14" x14ac:dyDescent="0.25">
      <c r="A20" s="45">
        <v>726</v>
      </c>
      <c r="B20" s="45" t="s">
        <v>94</v>
      </c>
      <c r="C20" s="59">
        <v>42069</v>
      </c>
      <c r="D20" s="46" t="str">
        <f t="shared" si="0"/>
        <v>V</v>
      </c>
      <c r="E20" s="61">
        <f t="shared" si="1"/>
        <v>10</v>
      </c>
      <c r="F20" s="45" t="s">
        <v>76</v>
      </c>
      <c r="G20" s="51">
        <v>47</v>
      </c>
      <c r="H20" s="51">
        <v>30</v>
      </c>
      <c r="I20" s="51">
        <v>49</v>
      </c>
      <c r="J20" s="51">
        <v>50</v>
      </c>
      <c r="K20" s="51">
        <v>23</v>
      </c>
      <c r="L20" s="51">
        <v>7</v>
      </c>
      <c r="M20" s="51">
        <v>2</v>
      </c>
      <c r="N20" s="60"/>
    </row>
    <row r="21" spans="1:14" x14ac:dyDescent="0.25">
      <c r="A21" s="45">
        <v>727</v>
      </c>
      <c r="B21" s="45" t="s">
        <v>95</v>
      </c>
      <c r="C21" s="59">
        <v>42073</v>
      </c>
      <c r="D21" s="46" t="str">
        <f t="shared" si="0"/>
        <v>M</v>
      </c>
      <c r="E21" s="61">
        <f t="shared" si="1"/>
        <v>11</v>
      </c>
      <c r="F21" s="45" t="s">
        <v>76</v>
      </c>
      <c r="G21" s="51">
        <v>31</v>
      </c>
      <c r="H21" s="51">
        <v>30</v>
      </c>
      <c r="I21" s="51">
        <v>2</v>
      </c>
      <c r="J21" s="51">
        <v>6</v>
      </c>
      <c r="K21" s="51">
        <v>23</v>
      </c>
      <c r="L21" s="51">
        <v>10</v>
      </c>
      <c r="M21" s="51">
        <v>2</v>
      </c>
      <c r="N21" s="60"/>
    </row>
    <row r="22" spans="1:14" x14ac:dyDescent="0.25">
      <c r="A22" s="45">
        <v>728</v>
      </c>
      <c r="B22" s="45" t="s">
        <v>96</v>
      </c>
      <c r="C22" s="59">
        <v>42076</v>
      </c>
      <c r="D22" s="46" t="str">
        <f t="shared" si="0"/>
        <v>V</v>
      </c>
      <c r="E22" s="61">
        <f t="shared" si="1"/>
        <v>11</v>
      </c>
      <c r="F22" s="45" t="s">
        <v>76</v>
      </c>
      <c r="G22" s="51">
        <v>4</v>
      </c>
      <c r="H22" s="51">
        <v>5</v>
      </c>
      <c r="I22" s="51">
        <v>22</v>
      </c>
      <c r="J22" s="51">
        <v>18</v>
      </c>
      <c r="K22" s="51">
        <v>23</v>
      </c>
      <c r="L22" s="51">
        <v>3</v>
      </c>
      <c r="M22" s="51">
        <v>1</v>
      </c>
      <c r="N22" s="60"/>
    </row>
    <row r="23" spans="1:14" x14ac:dyDescent="0.25">
      <c r="A23" s="45">
        <v>729</v>
      </c>
      <c r="B23" s="45" t="s">
        <v>97</v>
      </c>
      <c r="C23" s="59">
        <v>42080</v>
      </c>
      <c r="D23" s="46" t="str">
        <f t="shared" si="0"/>
        <v>M</v>
      </c>
      <c r="E23" s="61">
        <f t="shared" si="1"/>
        <v>12</v>
      </c>
      <c r="F23" s="45" t="s">
        <v>76</v>
      </c>
      <c r="G23" s="51">
        <v>11</v>
      </c>
      <c r="H23" s="51">
        <v>23</v>
      </c>
      <c r="I23" s="51">
        <v>44</v>
      </c>
      <c r="J23" s="51">
        <v>38</v>
      </c>
      <c r="K23" s="51">
        <v>26</v>
      </c>
      <c r="L23" s="51">
        <v>8</v>
      </c>
      <c r="M23" s="51">
        <v>1</v>
      </c>
      <c r="N23" s="60"/>
    </row>
    <row r="24" spans="1:14" x14ac:dyDescent="0.25">
      <c r="A24" s="45">
        <v>730</v>
      </c>
      <c r="B24" s="45" t="s">
        <v>98</v>
      </c>
      <c r="C24" s="59">
        <v>42083</v>
      </c>
      <c r="D24" s="46" t="str">
        <f t="shared" si="0"/>
        <v>V</v>
      </c>
      <c r="E24" s="61">
        <f t="shared" si="1"/>
        <v>12</v>
      </c>
      <c r="F24" s="45" t="s">
        <v>76</v>
      </c>
      <c r="G24" s="51">
        <v>3</v>
      </c>
      <c r="H24" s="51">
        <v>14</v>
      </c>
      <c r="I24" s="51">
        <v>42</v>
      </c>
      <c r="J24" s="51">
        <v>48</v>
      </c>
      <c r="K24" s="51">
        <v>37</v>
      </c>
      <c r="L24" s="51">
        <v>1</v>
      </c>
      <c r="M24" s="51">
        <v>10</v>
      </c>
      <c r="N24" s="60"/>
    </row>
    <row r="25" spans="1:14" x14ac:dyDescent="0.25">
      <c r="A25" s="45">
        <v>731</v>
      </c>
      <c r="B25" s="45" t="s">
        <v>99</v>
      </c>
      <c r="C25" s="59">
        <v>42087</v>
      </c>
      <c r="D25" s="46" t="str">
        <f t="shared" si="0"/>
        <v>M</v>
      </c>
      <c r="E25" s="61">
        <f t="shared" si="1"/>
        <v>13</v>
      </c>
      <c r="F25" s="45" t="s">
        <v>76</v>
      </c>
      <c r="G25" s="51">
        <v>40</v>
      </c>
      <c r="H25" s="51">
        <v>10</v>
      </c>
      <c r="I25" s="51">
        <v>39</v>
      </c>
      <c r="J25" s="51">
        <v>24</v>
      </c>
      <c r="K25" s="51">
        <v>26</v>
      </c>
      <c r="L25" s="51">
        <v>3</v>
      </c>
      <c r="M25" s="51">
        <v>10</v>
      </c>
      <c r="N25" s="60"/>
    </row>
    <row r="26" spans="1:14" x14ac:dyDescent="0.25">
      <c r="A26" s="45">
        <v>732</v>
      </c>
      <c r="B26" s="45" t="s">
        <v>100</v>
      </c>
      <c r="C26" s="59">
        <v>42090</v>
      </c>
      <c r="D26" s="46" t="str">
        <f t="shared" si="0"/>
        <v>V</v>
      </c>
      <c r="E26" s="61">
        <f t="shared" si="1"/>
        <v>13</v>
      </c>
      <c r="F26" s="45" t="s">
        <v>76</v>
      </c>
      <c r="G26" s="51">
        <v>30</v>
      </c>
      <c r="H26" s="51">
        <v>39</v>
      </c>
      <c r="I26" s="51">
        <v>32</v>
      </c>
      <c r="J26" s="51">
        <v>44</v>
      </c>
      <c r="K26" s="51">
        <v>2</v>
      </c>
      <c r="L26" s="51">
        <v>10</v>
      </c>
      <c r="M26" s="51">
        <v>6</v>
      </c>
      <c r="N26" s="60"/>
    </row>
    <row r="27" spans="1:14" x14ac:dyDescent="0.25">
      <c r="A27" s="45">
        <v>733</v>
      </c>
      <c r="B27" s="45" t="s">
        <v>101</v>
      </c>
      <c r="C27" s="59">
        <v>42094</v>
      </c>
      <c r="D27" s="46" t="str">
        <f t="shared" si="0"/>
        <v>M</v>
      </c>
      <c r="E27" s="61">
        <f t="shared" si="1"/>
        <v>14</v>
      </c>
      <c r="F27" s="45" t="s">
        <v>76</v>
      </c>
      <c r="G27" s="51">
        <v>8</v>
      </c>
      <c r="H27" s="51">
        <v>28</v>
      </c>
      <c r="I27" s="51">
        <v>20</v>
      </c>
      <c r="J27" s="51">
        <v>24</v>
      </c>
      <c r="K27" s="51">
        <v>49</v>
      </c>
      <c r="L27" s="51">
        <v>8</v>
      </c>
      <c r="M27" s="51">
        <v>9</v>
      </c>
      <c r="N27" s="60"/>
    </row>
    <row r="28" spans="1:14" x14ac:dyDescent="0.25">
      <c r="A28" s="45">
        <v>734</v>
      </c>
      <c r="B28" s="45" t="s">
        <v>102</v>
      </c>
      <c r="C28" s="59">
        <v>42097</v>
      </c>
      <c r="D28" s="46" t="str">
        <f t="shared" si="0"/>
        <v>V</v>
      </c>
      <c r="E28" s="61">
        <f t="shared" si="1"/>
        <v>14</v>
      </c>
      <c r="F28" s="45" t="s">
        <v>76</v>
      </c>
      <c r="G28" s="51">
        <v>39</v>
      </c>
      <c r="H28" s="51">
        <v>37</v>
      </c>
      <c r="I28" s="51">
        <v>49</v>
      </c>
      <c r="J28" s="51">
        <v>29</v>
      </c>
      <c r="K28" s="51">
        <v>27</v>
      </c>
      <c r="L28" s="51">
        <v>4</v>
      </c>
      <c r="M28" s="51">
        <v>2</v>
      </c>
      <c r="N28" s="60"/>
    </row>
    <row r="29" spans="1:14" x14ac:dyDescent="0.25">
      <c r="A29" s="45">
        <v>735</v>
      </c>
      <c r="B29" s="45" t="s">
        <v>103</v>
      </c>
      <c r="C29" s="59">
        <v>42101</v>
      </c>
      <c r="D29" s="46" t="str">
        <f t="shared" si="0"/>
        <v>M</v>
      </c>
      <c r="E29" s="61">
        <f t="shared" si="1"/>
        <v>15</v>
      </c>
      <c r="F29" s="45" t="s">
        <v>76</v>
      </c>
      <c r="G29" s="51">
        <v>39</v>
      </c>
      <c r="H29" s="51">
        <v>25</v>
      </c>
      <c r="I29" s="51">
        <v>50</v>
      </c>
      <c r="J29" s="51">
        <v>44</v>
      </c>
      <c r="K29" s="51">
        <v>18</v>
      </c>
      <c r="L29" s="51">
        <v>8</v>
      </c>
      <c r="M29" s="51">
        <v>5</v>
      </c>
      <c r="N29" s="60"/>
    </row>
    <row r="30" spans="1:14" x14ac:dyDescent="0.25">
      <c r="A30" s="45">
        <v>736</v>
      </c>
      <c r="B30" s="45" t="s">
        <v>104</v>
      </c>
      <c r="C30" s="59">
        <v>42104</v>
      </c>
      <c r="D30" s="46" t="str">
        <f t="shared" si="0"/>
        <v>V</v>
      </c>
      <c r="E30" s="61">
        <f t="shared" si="1"/>
        <v>15</v>
      </c>
      <c r="F30" s="45" t="s">
        <v>76</v>
      </c>
      <c r="G30" s="51">
        <v>25</v>
      </c>
      <c r="H30" s="51">
        <v>43</v>
      </c>
      <c r="I30" s="51">
        <v>22</v>
      </c>
      <c r="J30" s="51">
        <v>23</v>
      </c>
      <c r="K30" s="51">
        <v>30</v>
      </c>
      <c r="L30" s="51">
        <v>5</v>
      </c>
      <c r="M30" s="51">
        <v>9</v>
      </c>
      <c r="N30" s="60"/>
    </row>
    <row r="31" spans="1:14" x14ac:dyDescent="0.25">
      <c r="A31" s="45">
        <v>737</v>
      </c>
      <c r="B31" s="45" t="s">
        <v>105</v>
      </c>
      <c r="C31" s="59">
        <v>42108</v>
      </c>
      <c r="D31" s="46" t="str">
        <f t="shared" si="0"/>
        <v>M</v>
      </c>
      <c r="E31" s="61">
        <f t="shared" si="1"/>
        <v>16</v>
      </c>
      <c r="F31" s="45" t="s">
        <v>76</v>
      </c>
      <c r="G31" s="51">
        <v>49</v>
      </c>
      <c r="H31" s="51">
        <v>34</v>
      </c>
      <c r="I31" s="51">
        <v>32</v>
      </c>
      <c r="J31" s="51">
        <v>24</v>
      </c>
      <c r="K31" s="51">
        <v>35</v>
      </c>
      <c r="L31" s="51">
        <v>2</v>
      </c>
      <c r="M31" s="51">
        <v>1</v>
      </c>
      <c r="N31" s="60"/>
    </row>
    <row r="32" spans="1:14" x14ac:dyDescent="0.25">
      <c r="A32" s="45">
        <v>738</v>
      </c>
      <c r="B32" s="45" t="s">
        <v>106</v>
      </c>
      <c r="C32" s="59">
        <v>42111</v>
      </c>
      <c r="D32" s="46" t="str">
        <f t="shared" si="0"/>
        <v>V</v>
      </c>
      <c r="E32" s="61">
        <f t="shared" si="1"/>
        <v>16</v>
      </c>
      <c r="F32" s="45" t="s">
        <v>76</v>
      </c>
      <c r="G32" s="51">
        <v>39</v>
      </c>
      <c r="H32" s="51">
        <v>2</v>
      </c>
      <c r="I32" s="51">
        <v>34</v>
      </c>
      <c r="J32" s="51">
        <v>24</v>
      </c>
      <c r="K32" s="51">
        <v>30</v>
      </c>
      <c r="L32" s="51">
        <v>11</v>
      </c>
      <c r="M32" s="51">
        <v>8</v>
      </c>
      <c r="N32" s="60"/>
    </row>
    <row r="33" spans="1:14" x14ac:dyDescent="0.25">
      <c r="A33" s="45">
        <v>739</v>
      </c>
      <c r="B33" s="45" t="s">
        <v>107</v>
      </c>
      <c r="C33" s="59">
        <v>42115</v>
      </c>
      <c r="D33" s="46" t="str">
        <f t="shared" si="0"/>
        <v>M</v>
      </c>
      <c r="E33" s="61">
        <f t="shared" si="1"/>
        <v>17</v>
      </c>
      <c r="F33" s="45" t="s">
        <v>76</v>
      </c>
      <c r="G33" s="51">
        <v>14</v>
      </c>
      <c r="H33" s="51">
        <v>42</v>
      </c>
      <c r="I33" s="51">
        <v>17</v>
      </c>
      <c r="J33" s="51">
        <v>6</v>
      </c>
      <c r="K33" s="51">
        <v>45</v>
      </c>
      <c r="L33" s="51">
        <v>8</v>
      </c>
      <c r="M33" s="51">
        <v>1</v>
      </c>
      <c r="N33" s="60"/>
    </row>
    <row r="34" spans="1:14" x14ac:dyDescent="0.25">
      <c r="A34" s="45">
        <v>740</v>
      </c>
      <c r="B34" s="45" t="s">
        <v>108</v>
      </c>
      <c r="C34" s="59">
        <v>42118</v>
      </c>
      <c r="D34" s="46" t="str">
        <f t="shared" si="0"/>
        <v>V</v>
      </c>
      <c r="E34" s="61">
        <f t="shared" si="1"/>
        <v>17</v>
      </c>
      <c r="F34" s="45" t="s">
        <v>76</v>
      </c>
      <c r="G34" s="51">
        <v>31</v>
      </c>
      <c r="H34" s="51">
        <v>5</v>
      </c>
      <c r="I34" s="51">
        <v>40</v>
      </c>
      <c r="J34" s="51">
        <v>29</v>
      </c>
      <c r="K34" s="51">
        <v>19</v>
      </c>
      <c r="L34" s="51">
        <v>3</v>
      </c>
      <c r="M34" s="51">
        <v>10</v>
      </c>
      <c r="N34" s="60"/>
    </row>
    <row r="35" spans="1:14" x14ac:dyDescent="0.25">
      <c r="A35" s="45">
        <v>741</v>
      </c>
      <c r="B35" s="45" t="s">
        <v>109</v>
      </c>
      <c r="C35" s="59">
        <v>42122</v>
      </c>
      <c r="D35" s="46" t="str">
        <f t="shared" si="0"/>
        <v>M</v>
      </c>
      <c r="E35" s="61">
        <f t="shared" si="1"/>
        <v>18</v>
      </c>
      <c r="F35" s="45" t="s">
        <v>76</v>
      </c>
      <c r="G35" s="51">
        <v>36</v>
      </c>
      <c r="H35" s="51">
        <v>24</v>
      </c>
      <c r="I35" s="51">
        <v>28</v>
      </c>
      <c r="J35" s="51">
        <v>26</v>
      </c>
      <c r="K35" s="51">
        <v>45</v>
      </c>
      <c r="L35" s="51">
        <v>10</v>
      </c>
      <c r="M35" s="51">
        <v>7</v>
      </c>
      <c r="N35" s="60"/>
    </row>
    <row r="36" spans="1:14" x14ac:dyDescent="0.25">
      <c r="A36" s="45">
        <v>742</v>
      </c>
      <c r="B36" s="45" t="s">
        <v>110</v>
      </c>
      <c r="C36" s="59">
        <v>42125</v>
      </c>
      <c r="D36" s="46" t="str">
        <f t="shared" si="0"/>
        <v>V</v>
      </c>
      <c r="E36" s="61">
        <f t="shared" si="1"/>
        <v>18</v>
      </c>
      <c r="F36" s="45" t="s">
        <v>76</v>
      </c>
      <c r="G36" s="51">
        <v>19</v>
      </c>
      <c r="H36" s="51">
        <v>26</v>
      </c>
      <c r="I36" s="51">
        <v>20</v>
      </c>
      <c r="J36" s="51">
        <v>25</v>
      </c>
      <c r="K36" s="51">
        <v>3</v>
      </c>
      <c r="L36" s="51">
        <v>6</v>
      </c>
      <c r="M36" s="51">
        <v>10</v>
      </c>
      <c r="N36" s="60"/>
    </row>
    <row r="37" spans="1:14" x14ac:dyDescent="0.25">
      <c r="A37" s="45">
        <v>743</v>
      </c>
      <c r="B37" s="45" t="s">
        <v>111</v>
      </c>
      <c r="C37" s="59">
        <v>42129</v>
      </c>
      <c r="D37" s="46" t="str">
        <f t="shared" si="0"/>
        <v>M</v>
      </c>
      <c r="E37" s="61">
        <f t="shared" si="1"/>
        <v>19</v>
      </c>
      <c r="F37" s="45" t="s">
        <v>76</v>
      </c>
      <c r="G37" s="51">
        <v>1</v>
      </c>
      <c r="H37" s="51">
        <v>17</v>
      </c>
      <c r="I37" s="51">
        <v>10</v>
      </c>
      <c r="J37" s="51">
        <v>42</v>
      </c>
      <c r="K37" s="51">
        <v>20</v>
      </c>
      <c r="L37" s="51">
        <v>9</v>
      </c>
      <c r="M37" s="51">
        <v>8</v>
      </c>
      <c r="N37" s="60"/>
    </row>
    <row r="38" spans="1:14" x14ac:dyDescent="0.25">
      <c r="A38" s="45">
        <v>744</v>
      </c>
      <c r="B38" s="45" t="s">
        <v>112</v>
      </c>
      <c r="C38" s="59">
        <v>42132</v>
      </c>
      <c r="D38" s="46" t="str">
        <f t="shared" si="0"/>
        <v>V</v>
      </c>
      <c r="E38" s="61">
        <f t="shared" si="1"/>
        <v>19</v>
      </c>
      <c r="F38" s="45" t="s">
        <v>76</v>
      </c>
      <c r="G38" s="51">
        <v>14</v>
      </c>
      <c r="H38" s="51">
        <v>19</v>
      </c>
      <c r="I38" s="51">
        <v>49</v>
      </c>
      <c r="J38" s="51">
        <v>7</v>
      </c>
      <c r="K38" s="51">
        <v>47</v>
      </c>
      <c r="L38" s="51">
        <v>10</v>
      </c>
      <c r="M38" s="51">
        <v>3</v>
      </c>
      <c r="N38" s="60"/>
    </row>
    <row r="39" spans="1:14" x14ac:dyDescent="0.25">
      <c r="A39" s="45">
        <v>745</v>
      </c>
      <c r="B39" s="45" t="s">
        <v>113</v>
      </c>
      <c r="C39" s="59">
        <v>42136</v>
      </c>
      <c r="D39" s="46" t="str">
        <f t="shared" si="0"/>
        <v>M</v>
      </c>
      <c r="E39" s="61">
        <f t="shared" si="1"/>
        <v>20</v>
      </c>
      <c r="F39" s="45" t="s">
        <v>76</v>
      </c>
      <c r="G39" s="51">
        <v>29</v>
      </c>
      <c r="H39" s="51">
        <v>30</v>
      </c>
      <c r="I39" s="51">
        <v>14</v>
      </c>
      <c r="J39" s="51">
        <v>46</v>
      </c>
      <c r="K39" s="51">
        <v>40</v>
      </c>
      <c r="L39" s="51">
        <v>3</v>
      </c>
      <c r="M39" s="51">
        <v>6</v>
      </c>
      <c r="N39" s="60"/>
    </row>
    <row r="40" spans="1:14" x14ac:dyDescent="0.25">
      <c r="A40" s="45">
        <v>746</v>
      </c>
      <c r="B40" s="45" t="s">
        <v>114</v>
      </c>
      <c r="C40" s="59">
        <v>42139</v>
      </c>
      <c r="D40" s="46" t="str">
        <f t="shared" si="0"/>
        <v>V</v>
      </c>
      <c r="E40" s="61">
        <f t="shared" si="1"/>
        <v>20</v>
      </c>
      <c r="F40" s="45" t="s">
        <v>76</v>
      </c>
      <c r="G40" s="51">
        <v>47</v>
      </c>
      <c r="H40" s="51">
        <v>42</v>
      </c>
      <c r="I40" s="51">
        <v>44</v>
      </c>
      <c r="J40" s="51">
        <v>5</v>
      </c>
      <c r="K40" s="51">
        <v>35</v>
      </c>
      <c r="L40" s="51">
        <v>9</v>
      </c>
      <c r="M40" s="51">
        <v>8</v>
      </c>
      <c r="N40" s="60"/>
    </row>
    <row r="41" spans="1:14" x14ac:dyDescent="0.25">
      <c r="A41" s="45">
        <v>747</v>
      </c>
      <c r="B41" s="45" t="s">
        <v>115</v>
      </c>
      <c r="C41" s="59">
        <v>42143</v>
      </c>
      <c r="D41" s="46" t="str">
        <f t="shared" si="0"/>
        <v>M</v>
      </c>
      <c r="E41" s="61">
        <f t="shared" si="1"/>
        <v>21</v>
      </c>
      <c r="F41" s="45" t="s">
        <v>76</v>
      </c>
      <c r="G41" s="51">
        <v>35</v>
      </c>
      <c r="H41" s="51">
        <v>37</v>
      </c>
      <c r="I41" s="51">
        <v>31</v>
      </c>
      <c r="J41" s="51">
        <v>26</v>
      </c>
      <c r="K41" s="51">
        <v>30</v>
      </c>
      <c r="L41" s="51">
        <v>11</v>
      </c>
      <c r="M41" s="51">
        <v>8</v>
      </c>
      <c r="N41" s="60"/>
    </row>
    <row r="42" spans="1:14" x14ac:dyDescent="0.25">
      <c r="A42" s="45">
        <v>748</v>
      </c>
      <c r="B42" s="45" t="s">
        <v>116</v>
      </c>
      <c r="C42" s="59">
        <v>42146</v>
      </c>
      <c r="D42" s="46" t="str">
        <f t="shared" si="0"/>
        <v>V</v>
      </c>
      <c r="E42" s="61">
        <f t="shared" si="1"/>
        <v>21</v>
      </c>
      <c r="F42" s="45" t="s">
        <v>76</v>
      </c>
      <c r="G42" s="51">
        <v>18</v>
      </c>
      <c r="H42" s="51">
        <v>44</v>
      </c>
      <c r="I42" s="51">
        <v>35</v>
      </c>
      <c r="J42" s="51">
        <v>24</v>
      </c>
      <c r="K42" s="51">
        <v>45</v>
      </c>
      <c r="L42" s="51">
        <v>5</v>
      </c>
      <c r="M42" s="51">
        <v>11</v>
      </c>
      <c r="N42" s="60"/>
    </row>
    <row r="43" spans="1:14" x14ac:dyDescent="0.25">
      <c r="A43" s="45">
        <v>749</v>
      </c>
      <c r="B43" s="45" t="s">
        <v>117</v>
      </c>
      <c r="C43" s="59">
        <v>42150</v>
      </c>
      <c r="D43" s="46" t="str">
        <f t="shared" si="0"/>
        <v>M</v>
      </c>
      <c r="E43" s="61">
        <f t="shared" si="1"/>
        <v>22</v>
      </c>
      <c r="F43" s="45" t="s">
        <v>76</v>
      </c>
      <c r="G43" s="51">
        <v>6</v>
      </c>
      <c r="H43" s="51">
        <v>24</v>
      </c>
      <c r="I43" s="51">
        <v>7</v>
      </c>
      <c r="J43" s="51">
        <v>21</v>
      </c>
      <c r="K43" s="51">
        <v>5</v>
      </c>
      <c r="L43" s="51">
        <v>6</v>
      </c>
      <c r="M43" s="51">
        <v>5</v>
      </c>
      <c r="N43" s="60"/>
    </row>
    <row r="44" spans="1:14" x14ac:dyDescent="0.25">
      <c r="A44" s="45">
        <v>750</v>
      </c>
      <c r="B44" s="45" t="s">
        <v>118</v>
      </c>
      <c r="C44" s="59">
        <v>42153</v>
      </c>
      <c r="D44" s="46" t="str">
        <f t="shared" si="0"/>
        <v>V</v>
      </c>
      <c r="E44" s="61">
        <f t="shared" si="1"/>
        <v>22</v>
      </c>
      <c r="F44" s="45" t="s">
        <v>76</v>
      </c>
      <c r="G44" s="51">
        <v>4</v>
      </c>
      <c r="H44" s="51">
        <v>20</v>
      </c>
      <c r="I44" s="51">
        <v>48</v>
      </c>
      <c r="J44" s="51">
        <v>45</v>
      </c>
      <c r="K44" s="51">
        <v>3</v>
      </c>
      <c r="L44" s="51">
        <v>8</v>
      </c>
      <c r="M44" s="51">
        <v>6</v>
      </c>
      <c r="N44" s="60"/>
    </row>
    <row r="45" spans="1:14" x14ac:dyDescent="0.25">
      <c r="A45" s="45">
        <v>751</v>
      </c>
      <c r="B45" s="45" t="s">
        <v>119</v>
      </c>
      <c r="C45" s="59">
        <v>42157</v>
      </c>
      <c r="D45" s="46" t="str">
        <f t="shared" si="0"/>
        <v>M</v>
      </c>
      <c r="E45" s="61">
        <f t="shared" si="1"/>
        <v>23</v>
      </c>
      <c r="F45" s="45" t="s">
        <v>76</v>
      </c>
      <c r="G45" s="51">
        <v>23</v>
      </c>
      <c r="H45" s="51">
        <v>7</v>
      </c>
      <c r="I45" s="51">
        <v>41</v>
      </c>
      <c r="J45" s="51">
        <v>29</v>
      </c>
      <c r="K45" s="51">
        <v>37</v>
      </c>
      <c r="L45" s="51">
        <v>1</v>
      </c>
      <c r="M45" s="51">
        <v>8</v>
      </c>
      <c r="N45" s="60"/>
    </row>
    <row r="46" spans="1:14" x14ac:dyDescent="0.25">
      <c r="A46" s="45">
        <v>752</v>
      </c>
      <c r="B46" s="45" t="s">
        <v>120</v>
      </c>
      <c r="C46" s="59">
        <v>42160</v>
      </c>
      <c r="D46" s="46" t="str">
        <f t="shared" si="0"/>
        <v>V</v>
      </c>
      <c r="E46" s="61">
        <f t="shared" si="1"/>
        <v>23</v>
      </c>
      <c r="F46" s="45" t="s">
        <v>76</v>
      </c>
      <c r="G46" s="51">
        <v>8</v>
      </c>
      <c r="H46" s="51">
        <v>7</v>
      </c>
      <c r="I46" s="51">
        <v>2</v>
      </c>
      <c r="J46" s="51">
        <v>48</v>
      </c>
      <c r="K46" s="51">
        <v>45</v>
      </c>
      <c r="L46" s="51">
        <v>9</v>
      </c>
      <c r="M46" s="51">
        <v>1</v>
      </c>
      <c r="N46" s="60"/>
    </row>
    <row r="47" spans="1:14" x14ac:dyDescent="0.25">
      <c r="A47" s="45">
        <v>753</v>
      </c>
      <c r="B47" s="45" t="s">
        <v>121</v>
      </c>
      <c r="C47" s="59">
        <v>42164</v>
      </c>
      <c r="D47" s="46" t="str">
        <f t="shared" si="0"/>
        <v>M</v>
      </c>
      <c r="E47" s="61">
        <f t="shared" si="1"/>
        <v>24</v>
      </c>
      <c r="F47" s="45" t="s">
        <v>76</v>
      </c>
      <c r="G47" s="51">
        <v>5</v>
      </c>
      <c r="H47" s="51">
        <v>34</v>
      </c>
      <c r="I47" s="51">
        <v>17</v>
      </c>
      <c r="J47" s="51">
        <v>9</v>
      </c>
      <c r="K47" s="51">
        <v>32</v>
      </c>
      <c r="L47" s="51">
        <v>8</v>
      </c>
      <c r="M47" s="51">
        <v>6</v>
      </c>
      <c r="N47" s="60"/>
    </row>
    <row r="48" spans="1:14" x14ac:dyDescent="0.25">
      <c r="A48" s="45">
        <v>754</v>
      </c>
      <c r="B48" s="45" t="s">
        <v>122</v>
      </c>
      <c r="C48" s="59">
        <v>42167</v>
      </c>
      <c r="D48" s="46" t="str">
        <f t="shared" si="0"/>
        <v>V</v>
      </c>
      <c r="E48" s="61">
        <f t="shared" si="1"/>
        <v>24</v>
      </c>
      <c r="F48" s="45" t="s">
        <v>76</v>
      </c>
      <c r="G48" s="51">
        <v>11</v>
      </c>
      <c r="H48" s="51">
        <v>10</v>
      </c>
      <c r="I48" s="51">
        <v>37</v>
      </c>
      <c r="J48" s="51">
        <v>5</v>
      </c>
      <c r="K48" s="51">
        <v>8</v>
      </c>
      <c r="L48" s="51">
        <v>9</v>
      </c>
      <c r="M48" s="51">
        <v>7</v>
      </c>
      <c r="N48" s="60"/>
    </row>
    <row r="49" spans="1:14" x14ac:dyDescent="0.25">
      <c r="A49" s="45">
        <v>755</v>
      </c>
      <c r="B49" s="45" t="s">
        <v>123</v>
      </c>
      <c r="C49" s="59">
        <v>42171</v>
      </c>
      <c r="D49" s="46" t="str">
        <f t="shared" si="0"/>
        <v>M</v>
      </c>
      <c r="E49" s="61">
        <f t="shared" si="1"/>
        <v>25</v>
      </c>
      <c r="F49" s="45" t="s">
        <v>76</v>
      </c>
      <c r="G49" s="51">
        <v>15</v>
      </c>
      <c r="H49" s="51">
        <v>10</v>
      </c>
      <c r="I49" s="51">
        <v>36</v>
      </c>
      <c r="J49" s="51">
        <v>16</v>
      </c>
      <c r="K49" s="51">
        <v>37</v>
      </c>
      <c r="L49" s="51">
        <v>3</v>
      </c>
      <c r="M49" s="51">
        <v>9</v>
      </c>
      <c r="N49" s="60"/>
    </row>
    <row r="50" spans="1:14" x14ac:dyDescent="0.25">
      <c r="A50" s="45">
        <v>756</v>
      </c>
      <c r="B50" s="45" t="s">
        <v>124</v>
      </c>
      <c r="C50" s="59">
        <v>42174</v>
      </c>
      <c r="D50" s="46" t="str">
        <f t="shared" si="0"/>
        <v>V</v>
      </c>
      <c r="E50" s="61">
        <f t="shared" si="1"/>
        <v>25</v>
      </c>
      <c r="F50" s="45" t="s">
        <v>76</v>
      </c>
      <c r="G50" s="51">
        <v>7</v>
      </c>
      <c r="H50" s="51">
        <v>14</v>
      </c>
      <c r="I50" s="51">
        <v>20</v>
      </c>
      <c r="J50" s="51">
        <v>31</v>
      </c>
      <c r="K50" s="51">
        <v>42</v>
      </c>
      <c r="L50" s="51">
        <v>9</v>
      </c>
      <c r="M50" s="51">
        <v>3</v>
      </c>
      <c r="N50" s="60"/>
    </row>
    <row r="51" spans="1:14" x14ac:dyDescent="0.25">
      <c r="A51" s="45">
        <v>757</v>
      </c>
      <c r="B51" s="45" t="s">
        <v>125</v>
      </c>
      <c r="C51" s="59">
        <v>42178</v>
      </c>
      <c r="D51" s="46" t="str">
        <f t="shared" si="0"/>
        <v>M</v>
      </c>
      <c r="E51" s="61">
        <f t="shared" si="1"/>
        <v>26</v>
      </c>
      <c r="F51" s="45" t="s">
        <v>76</v>
      </c>
      <c r="G51" s="51">
        <v>16</v>
      </c>
      <c r="H51" s="51">
        <v>38</v>
      </c>
      <c r="I51" s="51">
        <v>4</v>
      </c>
      <c r="J51" s="51">
        <v>22</v>
      </c>
      <c r="K51" s="51">
        <v>49</v>
      </c>
      <c r="L51" s="51">
        <v>6</v>
      </c>
      <c r="M51" s="51">
        <v>9</v>
      </c>
      <c r="N51" s="60"/>
    </row>
    <row r="52" spans="1:14" x14ac:dyDescent="0.25">
      <c r="A52" s="45">
        <v>758</v>
      </c>
      <c r="B52" s="45" t="s">
        <v>126</v>
      </c>
      <c r="C52" s="59">
        <v>42181</v>
      </c>
      <c r="D52" s="46" t="str">
        <f t="shared" si="0"/>
        <v>V</v>
      </c>
      <c r="E52" s="61">
        <f t="shared" si="1"/>
        <v>26</v>
      </c>
      <c r="F52" s="45" t="s">
        <v>76</v>
      </c>
      <c r="G52" s="51">
        <v>10</v>
      </c>
      <c r="H52" s="51">
        <v>19</v>
      </c>
      <c r="I52" s="51">
        <v>6</v>
      </c>
      <c r="J52" s="51">
        <v>3</v>
      </c>
      <c r="K52" s="51">
        <v>24</v>
      </c>
      <c r="L52" s="51">
        <v>5</v>
      </c>
      <c r="M52" s="51">
        <v>7</v>
      </c>
      <c r="N52" s="60"/>
    </row>
    <row r="53" spans="1:14" x14ac:dyDescent="0.25">
      <c r="A53" s="45">
        <v>759</v>
      </c>
      <c r="B53" s="45" t="s">
        <v>127</v>
      </c>
      <c r="C53" s="59">
        <v>42185</v>
      </c>
      <c r="D53" s="46" t="str">
        <f t="shared" si="0"/>
        <v>M</v>
      </c>
      <c r="E53" s="61">
        <f t="shared" si="1"/>
        <v>27</v>
      </c>
      <c r="F53" s="45" t="s">
        <v>76</v>
      </c>
      <c r="G53" s="51">
        <v>11</v>
      </c>
      <c r="H53" s="51">
        <v>28</v>
      </c>
      <c r="I53" s="51">
        <v>15</v>
      </c>
      <c r="J53" s="51">
        <v>34</v>
      </c>
      <c r="K53" s="51">
        <v>37</v>
      </c>
      <c r="L53" s="51">
        <v>1</v>
      </c>
      <c r="M53" s="51">
        <v>8</v>
      </c>
      <c r="N53" s="60"/>
    </row>
    <row r="54" spans="1:14" x14ac:dyDescent="0.25">
      <c r="A54" s="45">
        <v>760</v>
      </c>
      <c r="B54" s="45" t="s">
        <v>128</v>
      </c>
      <c r="C54" s="59">
        <v>42188</v>
      </c>
      <c r="D54" s="46" t="str">
        <f t="shared" si="0"/>
        <v>V</v>
      </c>
      <c r="E54" s="61">
        <f t="shared" si="1"/>
        <v>27</v>
      </c>
      <c r="F54" s="45" t="s">
        <v>76</v>
      </c>
      <c r="G54" s="51">
        <v>11</v>
      </c>
      <c r="H54" s="51">
        <v>18</v>
      </c>
      <c r="I54" s="51">
        <v>44</v>
      </c>
      <c r="J54" s="51">
        <v>15</v>
      </c>
      <c r="K54" s="51">
        <v>12</v>
      </c>
      <c r="L54" s="51">
        <v>3</v>
      </c>
      <c r="M54" s="51">
        <v>9</v>
      </c>
      <c r="N54" s="60"/>
    </row>
    <row r="55" spans="1:14" x14ac:dyDescent="0.25">
      <c r="A55" s="45">
        <v>761</v>
      </c>
      <c r="B55" s="45" t="s">
        <v>129</v>
      </c>
      <c r="C55" s="59">
        <v>42192</v>
      </c>
      <c r="D55" s="46" t="str">
        <f t="shared" si="0"/>
        <v>M</v>
      </c>
      <c r="E55" s="61">
        <f t="shared" si="1"/>
        <v>28</v>
      </c>
      <c r="F55" s="45" t="s">
        <v>76</v>
      </c>
      <c r="G55" s="51">
        <v>7</v>
      </c>
      <c r="H55" s="51">
        <v>41</v>
      </c>
      <c r="I55" s="51">
        <v>33</v>
      </c>
      <c r="J55" s="51">
        <v>18</v>
      </c>
      <c r="K55" s="51">
        <v>6</v>
      </c>
      <c r="L55" s="51">
        <v>10</v>
      </c>
      <c r="M55" s="51">
        <v>3</v>
      </c>
      <c r="N55" s="60"/>
    </row>
    <row r="56" spans="1:14" x14ac:dyDescent="0.25">
      <c r="A56" s="45">
        <v>762</v>
      </c>
      <c r="B56" s="45" t="s">
        <v>130</v>
      </c>
      <c r="C56" s="59">
        <v>42195</v>
      </c>
      <c r="D56" s="46" t="str">
        <f t="shared" si="0"/>
        <v>V</v>
      </c>
      <c r="E56" s="61">
        <f t="shared" si="1"/>
        <v>28</v>
      </c>
      <c r="F56" s="45" t="s">
        <v>76</v>
      </c>
      <c r="G56" s="51">
        <v>35</v>
      </c>
      <c r="H56" s="51">
        <v>8</v>
      </c>
      <c r="I56" s="51">
        <v>15</v>
      </c>
      <c r="J56" s="51">
        <v>5</v>
      </c>
      <c r="K56" s="51">
        <v>41</v>
      </c>
      <c r="L56" s="51">
        <v>5</v>
      </c>
      <c r="M56" s="51">
        <v>4</v>
      </c>
      <c r="N56" s="60"/>
    </row>
    <row r="57" spans="1:14" x14ac:dyDescent="0.25">
      <c r="A57" s="45">
        <v>763</v>
      </c>
      <c r="B57" s="45" t="s">
        <v>131</v>
      </c>
      <c r="C57" s="59">
        <v>42199</v>
      </c>
      <c r="D57" s="46" t="str">
        <f t="shared" si="0"/>
        <v>M</v>
      </c>
      <c r="E57" s="61">
        <f t="shared" si="1"/>
        <v>29</v>
      </c>
      <c r="F57" s="45" t="s">
        <v>76</v>
      </c>
      <c r="G57" s="51">
        <v>34</v>
      </c>
      <c r="H57" s="51">
        <v>18</v>
      </c>
      <c r="I57" s="51">
        <v>36</v>
      </c>
      <c r="J57" s="51">
        <v>19</v>
      </c>
      <c r="K57" s="51">
        <v>6</v>
      </c>
      <c r="L57" s="51">
        <v>1</v>
      </c>
      <c r="M57" s="51">
        <v>8</v>
      </c>
      <c r="N57" s="60"/>
    </row>
    <row r="58" spans="1:14" x14ac:dyDescent="0.25">
      <c r="A58" s="45">
        <v>764</v>
      </c>
      <c r="B58" s="45" t="s">
        <v>132</v>
      </c>
      <c r="C58" s="59">
        <v>42202</v>
      </c>
      <c r="D58" s="46" t="str">
        <f t="shared" si="0"/>
        <v>V</v>
      </c>
      <c r="E58" s="61">
        <f t="shared" si="1"/>
        <v>29</v>
      </c>
      <c r="F58" s="45" t="s">
        <v>76</v>
      </c>
      <c r="G58" s="51">
        <v>21</v>
      </c>
      <c r="H58" s="51">
        <v>48</v>
      </c>
      <c r="I58" s="51">
        <v>22</v>
      </c>
      <c r="J58" s="51">
        <v>1</v>
      </c>
      <c r="K58" s="51">
        <v>43</v>
      </c>
      <c r="L58" s="51">
        <v>9</v>
      </c>
      <c r="M58" s="51">
        <v>7</v>
      </c>
      <c r="N58" s="60"/>
    </row>
    <row r="59" spans="1:14" x14ac:dyDescent="0.25">
      <c r="A59" s="45">
        <v>765</v>
      </c>
      <c r="B59" s="45" t="s">
        <v>133</v>
      </c>
      <c r="C59" s="59">
        <v>42206</v>
      </c>
      <c r="D59" s="46" t="str">
        <f t="shared" si="0"/>
        <v>M</v>
      </c>
      <c r="E59" s="61">
        <f t="shared" si="1"/>
        <v>30</v>
      </c>
      <c r="F59" s="45" t="s">
        <v>76</v>
      </c>
      <c r="G59" s="51">
        <v>14</v>
      </c>
      <c r="H59" s="51">
        <v>29</v>
      </c>
      <c r="I59" s="51">
        <v>44</v>
      </c>
      <c r="J59" s="51">
        <v>27</v>
      </c>
      <c r="K59" s="51">
        <v>20</v>
      </c>
      <c r="L59" s="51">
        <v>10</v>
      </c>
      <c r="M59" s="51">
        <v>7</v>
      </c>
      <c r="N59" s="60"/>
    </row>
    <row r="60" spans="1:14" x14ac:dyDescent="0.25">
      <c r="A60" s="45">
        <v>766</v>
      </c>
      <c r="B60" s="45" t="s">
        <v>134</v>
      </c>
      <c r="C60" s="59">
        <v>42209</v>
      </c>
      <c r="D60" s="46" t="str">
        <f t="shared" si="0"/>
        <v>V</v>
      </c>
      <c r="E60" s="61">
        <f t="shared" si="1"/>
        <v>30</v>
      </c>
      <c r="F60" s="45" t="s">
        <v>76</v>
      </c>
      <c r="G60" s="51">
        <v>21</v>
      </c>
      <c r="H60" s="51">
        <v>46</v>
      </c>
      <c r="I60" s="51">
        <v>2</v>
      </c>
      <c r="J60" s="51">
        <v>9</v>
      </c>
      <c r="K60" s="51">
        <v>35</v>
      </c>
      <c r="L60" s="51">
        <v>2</v>
      </c>
      <c r="M60" s="51">
        <v>11</v>
      </c>
      <c r="N60" s="60"/>
    </row>
    <row r="61" spans="1:14" x14ac:dyDescent="0.25">
      <c r="A61" s="45">
        <v>767</v>
      </c>
      <c r="B61" s="45" t="s">
        <v>135</v>
      </c>
      <c r="C61" s="59">
        <v>42213</v>
      </c>
      <c r="D61" s="46" t="str">
        <f t="shared" si="0"/>
        <v>M</v>
      </c>
      <c r="E61" s="61">
        <f t="shared" si="1"/>
        <v>31</v>
      </c>
      <c r="F61" s="45" t="s">
        <v>76</v>
      </c>
      <c r="G61" s="51">
        <v>36</v>
      </c>
      <c r="H61" s="51">
        <v>23</v>
      </c>
      <c r="I61" s="51">
        <v>49</v>
      </c>
      <c r="J61" s="51">
        <v>43</v>
      </c>
      <c r="K61" s="51">
        <v>32</v>
      </c>
      <c r="L61" s="51">
        <v>8</v>
      </c>
      <c r="M61" s="51">
        <v>7</v>
      </c>
      <c r="N61" s="60"/>
    </row>
    <row r="62" spans="1:14" x14ac:dyDescent="0.25">
      <c r="A62" s="45">
        <v>768</v>
      </c>
      <c r="B62" s="45" t="s">
        <v>136</v>
      </c>
      <c r="C62" s="59">
        <v>42216</v>
      </c>
      <c r="D62" s="46" t="str">
        <f t="shared" si="0"/>
        <v>V</v>
      </c>
      <c r="E62" s="61">
        <f t="shared" si="1"/>
        <v>31</v>
      </c>
      <c r="F62" s="45" t="s">
        <v>76</v>
      </c>
      <c r="G62" s="51">
        <v>34</v>
      </c>
      <c r="H62" s="51">
        <v>21</v>
      </c>
      <c r="I62" s="51">
        <v>16</v>
      </c>
      <c r="J62" s="51">
        <v>50</v>
      </c>
      <c r="K62" s="51">
        <v>40</v>
      </c>
      <c r="L62" s="51">
        <v>6</v>
      </c>
      <c r="M62" s="51">
        <v>9</v>
      </c>
      <c r="N62" s="60"/>
    </row>
    <row r="63" spans="1:14" x14ac:dyDescent="0.25">
      <c r="A63" s="45">
        <v>769</v>
      </c>
      <c r="B63" s="45" t="s">
        <v>137</v>
      </c>
      <c r="C63" s="59">
        <v>42220</v>
      </c>
      <c r="D63" s="46" t="str">
        <f t="shared" si="0"/>
        <v>M</v>
      </c>
      <c r="E63" s="61">
        <f t="shared" si="1"/>
        <v>32</v>
      </c>
      <c r="F63" s="45" t="s">
        <v>76</v>
      </c>
      <c r="G63" s="51">
        <v>50</v>
      </c>
      <c r="H63" s="51">
        <v>15</v>
      </c>
      <c r="I63" s="51">
        <v>39</v>
      </c>
      <c r="J63" s="51">
        <v>10</v>
      </c>
      <c r="K63" s="51">
        <v>45</v>
      </c>
      <c r="L63" s="51">
        <v>10</v>
      </c>
      <c r="M63" s="51">
        <v>9</v>
      </c>
      <c r="N63" s="60"/>
    </row>
    <row r="64" spans="1:14" x14ac:dyDescent="0.25">
      <c r="A64" s="45">
        <v>770</v>
      </c>
      <c r="B64" s="45" t="s">
        <v>138</v>
      </c>
      <c r="C64" s="59">
        <v>42223</v>
      </c>
      <c r="D64" s="46" t="str">
        <f t="shared" si="0"/>
        <v>V</v>
      </c>
      <c r="E64" s="61">
        <f t="shared" si="1"/>
        <v>32</v>
      </c>
      <c r="F64" s="45" t="s">
        <v>76</v>
      </c>
      <c r="G64" s="51">
        <v>1</v>
      </c>
      <c r="H64" s="51">
        <v>5</v>
      </c>
      <c r="I64" s="51">
        <v>21</v>
      </c>
      <c r="J64" s="51">
        <v>44</v>
      </c>
      <c r="K64" s="51">
        <v>39</v>
      </c>
      <c r="L64" s="51">
        <v>4</v>
      </c>
      <c r="M64" s="51">
        <v>11</v>
      </c>
      <c r="N64" s="60"/>
    </row>
    <row r="65" spans="1:14" x14ac:dyDescent="0.25">
      <c r="A65" s="45">
        <v>771</v>
      </c>
      <c r="B65" s="45" t="s">
        <v>139</v>
      </c>
      <c r="C65" s="59">
        <v>42227</v>
      </c>
      <c r="D65" s="46" t="str">
        <f t="shared" si="0"/>
        <v>M</v>
      </c>
      <c r="E65" s="61">
        <f t="shared" si="1"/>
        <v>33</v>
      </c>
      <c r="F65" s="45" t="s">
        <v>76</v>
      </c>
      <c r="G65" s="51">
        <v>2</v>
      </c>
      <c r="H65" s="51">
        <v>16</v>
      </c>
      <c r="I65" s="51">
        <v>3</v>
      </c>
      <c r="J65" s="51">
        <v>15</v>
      </c>
      <c r="K65" s="51">
        <v>8</v>
      </c>
      <c r="L65" s="51">
        <v>4</v>
      </c>
      <c r="M65" s="51">
        <v>11</v>
      </c>
      <c r="N65" s="60"/>
    </row>
    <row r="66" spans="1:14" x14ac:dyDescent="0.25">
      <c r="A66" s="45">
        <v>772</v>
      </c>
      <c r="B66" s="45" t="s">
        <v>140</v>
      </c>
      <c r="C66" s="59">
        <v>42230</v>
      </c>
      <c r="D66" s="46" t="str">
        <f t="shared" ref="D66:D129" si="2">CHOOSE(WEEKDAY(C66),"D","L","M","X","J","V","S")</f>
        <v>V</v>
      </c>
      <c r="E66" s="61">
        <f t="shared" ref="E66:E129" si="3">WEEKNUM(C66,21)</f>
        <v>33</v>
      </c>
      <c r="F66" s="45" t="s">
        <v>76</v>
      </c>
      <c r="G66" s="51">
        <v>45</v>
      </c>
      <c r="H66" s="51">
        <v>4</v>
      </c>
      <c r="I66" s="51">
        <v>44</v>
      </c>
      <c r="J66" s="51">
        <v>7</v>
      </c>
      <c r="K66" s="51">
        <v>39</v>
      </c>
      <c r="L66" s="51">
        <v>3</v>
      </c>
      <c r="M66" s="51">
        <v>5</v>
      </c>
      <c r="N66" s="60"/>
    </row>
    <row r="67" spans="1:14" x14ac:dyDescent="0.25">
      <c r="A67" s="45">
        <v>773</v>
      </c>
      <c r="B67" s="45" t="s">
        <v>141</v>
      </c>
      <c r="C67" s="59">
        <v>42234</v>
      </c>
      <c r="D67" s="46" t="str">
        <f t="shared" si="2"/>
        <v>M</v>
      </c>
      <c r="E67" s="61">
        <f t="shared" si="3"/>
        <v>34</v>
      </c>
      <c r="F67" s="45" t="s">
        <v>76</v>
      </c>
      <c r="G67" s="51">
        <v>7</v>
      </c>
      <c r="H67" s="51">
        <v>10</v>
      </c>
      <c r="I67" s="51">
        <v>19</v>
      </c>
      <c r="J67" s="51">
        <v>12</v>
      </c>
      <c r="K67" s="51">
        <v>11</v>
      </c>
      <c r="L67" s="51">
        <v>2</v>
      </c>
      <c r="M67" s="51">
        <v>9</v>
      </c>
      <c r="N67" s="60"/>
    </row>
    <row r="68" spans="1:14" x14ac:dyDescent="0.25">
      <c r="A68" s="45">
        <v>774</v>
      </c>
      <c r="B68" s="45" t="s">
        <v>142</v>
      </c>
      <c r="C68" s="59">
        <v>42237</v>
      </c>
      <c r="D68" s="46" t="str">
        <f t="shared" si="2"/>
        <v>V</v>
      </c>
      <c r="E68" s="61">
        <f t="shared" si="3"/>
        <v>34</v>
      </c>
      <c r="F68" s="45" t="s">
        <v>76</v>
      </c>
      <c r="G68" s="51">
        <v>47</v>
      </c>
      <c r="H68" s="51">
        <v>4</v>
      </c>
      <c r="I68" s="51">
        <v>16</v>
      </c>
      <c r="J68" s="51">
        <v>18</v>
      </c>
      <c r="K68" s="51">
        <v>43</v>
      </c>
      <c r="L68" s="51">
        <v>10</v>
      </c>
      <c r="M68" s="51">
        <v>6</v>
      </c>
      <c r="N68" s="60"/>
    </row>
    <row r="69" spans="1:14" x14ac:dyDescent="0.25">
      <c r="A69" s="45">
        <v>775</v>
      </c>
      <c r="B69" s="45" t="s">
        <v>143</v>
      </c>
      <c r="C69" s="59">
        <v>42241</v>
      </c>
      <c r="D69" s="46" t="str">
        <f t="shared" si="2"/>
        <v>M</v>
      </c>
      <c r="E69" s="61">
        <f t="shared" si="3"/>
        <v>35</v>
      </c>
      <c r="F69" s="45" t="s">
        <v>76</v>
      </c>
      <c r="G69" s="51">
        <v>31</v>
      </c>
      <c r="H69" s="51">
        <v>33</v>
      </c>
      <c r="I69" s="51">
        <v>50</v>
      </c>
      <c r="J69" s="51">
        <v>27</v>
      </c>
      <c r="K69" s="51">
        <v>42</v>
      </c>
      <c r="L69" s="51">
        <v>5</v>
      </c>
      <c r="M69" s="51">
        <v>2</v>
      </c>
      <c r="N69" s="60"/>
    </row>
    <row r="70" spans="1:14" x14ac:dyDescent="0.25">
      <c r="A70" s="45">
        <v>776</v>
      </c>
      <c r="B70" s="45" t="s">
        <v>144</v>
      </c>
      <c r="C70" s="59">
        <v>42244</v>
      </c>
      <c r="D70" s="46" t="str">
        <f t="shared" si="2"/>
        <v>V</v>
      </c>
      <c r="E70" s="61">
        <f t="shared" si="3"/>
        <v>35</v>
      </c>
      <c r="F70" s="45" t="s">
        <v>76</v>
      </c>
      <c r="G70" s="51">
        <v>11</v>
      </c>
      <c r="H70" s="51">
        <v>34</v>
      </c>
      <c r="I70" s="51">
        <v>30</v>
      </c>
      <c r="J70" s="51">
        <v>29</v>
      </c>
      <c r="K70" s="51">
        <v>31</v>
      </c>
      <c r="L70" s="51">
        <v>4</v>
      </c>
      <c r="M70" s="51">
        <v>7</v>
      </c>
      <c r="N70" s="60"/>
    </row>
    <row r="71" spans="1:14" x14ac:dyDescent="0.25">
      <c r="A71" s="45">
        <v>777</v>
      </c>
      <c r="B71" s="45" t="s">
        <v>145</v>
      </c>
      <c r="C71" s="59">
        <v>42248</v>
      </c>
      <c r="D71" s="46" t="str">
        <f t="shared" si="2"/>
        <v>M</v>
      </c>
      <c r="E71" s="61">
        <f t="shared" si="3"/>
        <v>36</v>
      </c>
      <c r="F71" s="45" t="s">
        <v>76</v>
      </c>
      <c r="G71" s="51">
        <v>6</v>
      </c>
      <c r="H71" s="51">
        <v>27</v>
      </c>
      <c r="I71" s="51">
        <v>45</v>
      </c>
      <c r="J71" s="51">
        <v>19</v>
      </c>
      <c r="K71" s="51">
        <v>21</v>
      </c>
      <c r="L71" s="51">
        <v>8</v>
      </c>
      <c r="M71" s="51">
        <v>1</v>
      </c>
      <c r="N71" s="60"/>
    </row>
    <row r="72" spans="1:14" x14ac:dyDescent="0.25">
      <c r="A72" s="45">
        <v>778</v>
      </c>
      <c r="B72" s="45" t="s">
        <v>146</v>
      </c>
      <c r="C72" s="59">
        <v>42251</v>
      </c>
      <c r="D72" s="46" t="str">
        <f t="shared" si="2"/>
        <v>V</v>
      </c>
      <c r="E72" s="61">
        <f t="shared" si="3"/>
        <v>36</v>
      </c>
      <c r="F72" s="45" t="s">
        <v>76</v>
      </c>
      <c r="G72" s="51">
        <v>27</v>
      </c>
      <c r="H72" s="51">
        <v>8</v>
      </c>
      <c r="I72" s="51">
        <v>45</v>
      </c>
      <c r="J72" s="51">
        <v>9</v>
      </c>
      <c r="K72" s="51">
        <v>50</v>
      </c>
      <c r="L72" s="51">
        <v>8</v>
      </c>
      <c r="M72" s="51">
        <v>10</v>
      </c>
      <c r="N72" s="60"/>
    </row>
    <row r="73" spans="1:14" x14ac:dyDescent="0.25">
      <c r="A73" s="45">
        <v>779</v>
      </c>
      <c r="B73" s="45" t="s">
        <v>147</v>
      </c>
      <c r="C73" s="59">
        <v>42255</v>
      </c>
      <c r="D73" s="46" t="str">
        <f t="shared" si="2"/>
        <v>M</v>
      </c>
      <c r="E73" s="61">
        <f t="shared" si="3"/>
        <v>37</v>
      </c>
      <c r="F73" s="45" t="s">
        <v>76</v>
      </c>
      <c r="G73" s="51">
        <v>42</v>
      </c>
      <c r="H73" s="51">
        <v>14</v>
      </c>
      <c r="I73" s="51">
        <v>40</v>
      </c>
      <c r="J73" s="51">
        <v>39</v>
      </c>
      <c r="K73" s="51">
        <v>16</v>
      </c>
      <c r="L73" s="51">
        <v>1</v>
      </c>
      <c r="M73" s="51">
        <v>4</v>
      </c>
      <c r="N73" s="60"/>
    </row>
    <row r="74" spans="1:14" x14ac:dyDescent="0.25">
      <c r="A74" s="45">
        <v>780</v>
      </c>
      <c r="B74" s="45" t="s">
        <v>148</v>
      </c>
      <c r="C74" s="59">
        <v>42258</v>
      </c>
      <c r="D74" s="46" t="str">
        <f t="shared" si="2"/>
        <v>V</v>
      </c>
      <c r="E74" s="61">
        <f t="shared" si="3"/>
        <v>37</v>
      </c>
      <c r="F74" s="45" t="s">
        <v>76</v>
      </c>
      <c r="G74" s="51">
        <v>19</v>
      </c>
      <c r="H74" s="51">
        <v>50</v>
      </c>
      <c r="I74" s="51">
        <v>10</v>
      </c>
      <c r="J74" s="51">
        <v>29</v>
      </c>
      <c r="K74" s="51">
        <v>18</v>
      </c>
      <c r="L74" s="51">
        <v>9</v>
      </c>
      <c r="M74" s="51">
        <v>1</v>
      </c>
      <c r="N74" s="60"/>
    </row>
    <row r="75" spans="1:14" x14ac:dyDescent="0.25">
      <c r="A75" s="45">
        <v>781</v>
      </c>
      <c r="B75" s="45" t="s">
        <v>149</v>
      </c>
      <c r="C75" s="59">
        <v>42262</v>
      </c>
      <c r="D75" s="46" t="str">
        <f t="shared" si="2"/>
        <v>M</v>
      </c>
      <c r="E75" s="61">
        <f t="shared" si="3"/>
        <v>38</v>
      </c>
      <c r="F75" s="45" t="s">
        <v>76</v>
      </c>
      <c r="G75" s="51">
        <v>44</v>
      </c>
      <c r="H75" s="51">
        <v>8</v>
      </c>
      <c r="I75" s="51">
        <v>15</v>
      </c>
      <c r="J75" s="51">
        <v>17</v>
      </c>
      <c r="K75" s="51">
        <v>49</v>
      </c>
      <c r="L75" s="51">
        <v>5</v>
      </c>
      <c r="M75" s="51">
        <v>8</v>
      </c>
      <c r="N75" s="60"/>
    </row>
    <row r="76" spans="1:14" x14ac:dyDescent="0.25">
      <c r="A76" s="45">
        <v>782</v>
      </c>
      <c r="B76" s="45" t="s">
        <v>150</v>
      </c>
      <c r="C76" s="59">
        <v>42265</v>
      </c>
      <c r="D76" s="46" t="str">
        <f t="shared" si="2"/>
        <v>V</v>
      </c>
      <c r="E76" s="61">
        <f t="shared" si="3"/>
        <v>38</v>
      </c>
      <c r="F76" s="45" t="s">
        <v>76</v>
      </c>
      <c r="G76" s="51">
        <v>39</v>
      </c>
      <c r="H76" s="51">
        <v>34</v>
      </c>
      <c r="I76" s="51">
        <v>33</v>
      </c>
      <c r="J76" s="51">
        <v>7</v>
      </c>
      <c r="K76" s="51">
        <v>29</v>
      </c>
      <c r="L76" s="51">
        <v>8</v>
      </c>
      <c r="M76" s="51">
        <v>7</v>
      </c>
      <c r="N76" s="60"/>
    </row>
    <row r="77" spans="1:14" x14ac:dyDescent="0.25">
      <c r="A77" s="45">
        <v>783</v>
      </c>
      <c r="B77" s="45" t="s">
        <v>151</v>
      </c>
      <c r="C77" s="59">
        <v>42269</v>
      </c>
      <c r="D77" s="46" t="str">
        <f t="shared" si="2"/>
        <v>M</v>
      </c>
      <c r="E77" s="61">
        <f t="shared" si="3"/>
        <v>39</v>
      </c>
      <c r="F77" s="45" t="s">
        <v>76</v>
      </c>
      <c r="G77" s="51">
        <v>27</v>
      </c>
      <c r="H77" s="51">
        <v>14</v>
      </c>
      <c r="I77" s="51">
        <v>23</v>
      </c>
      <c r="J77" s="51">
        <v>29</v>
      </c>
      <c r="K77" s="51">
        <v>26</v>
      </c>
      <c r="L77" s="51">
        <v>7</v>
      </c>
      <c r="M77" s="51">
        <v>10</v>
      </c>
      <c r="N77" s="60"/>
    </row>
    <row r="78" spans="1:14" x14ac:dyDescent="0.25">
      <c r="A78" s="45">
        <v>784</v>
      </c>
      <c r="B78" s="45" t="s">
        <v>152</v>
      </c>
      <c r="C78" s="59">
        <v>42272</v>
      </c>
      <c r="D78" s="46" t="str">
        <f t="shared" si="2"/>
        <v>V</v>
      </c>
      <c r="E78" s="61">
        <f t="shared" si="3"/>
        <v>39</v>
      </c>
      <c r="F78" s="45" t="s">
        <v>76</v>
      </c>
      <c r="G78" s="51">
        <v>14</v>
      </c>
      <c r="H78" s="51">
        <v>37</v>
      </c>
      <c r="I78" s="51">
        <v>30</v>
      </c>
      <c r="J78" s="51">
        <v>13</v>
      </c>
      <c r="K78" s="51">
        <v>23</v>
      </c>
      <c r="L78" s="51">
        <v>8</v>
      </c>
      <c r="M78" s="51">
        <v>2</v>
      </c>
      <c r="N78" s="60"/>
    </row>
    <row r="79" spans="1:14" x14ac:dyDescent="0.25">
      <c r="A79" s="45">
        <v>785</v>
      </c>
      <c r="B79" s="45" t="s">
        <v>153</v>
      </c>
      <c r="C79" s="59">
        <v>42276</v>
      </c>
      <c r="D79" s="46" t="str">
        <f t="shared" si="2"/>
        <v>M</v>
      </c>
      <c r="E79" s="61">
        <f t="shared" si="3"/>
        <v>40</v>
      </c>
      <c r="F79" s="45" t="s">
        <v>76</v>
      </c>
      <c r="G79" s="51">
        <v>14</v>
      </c>
      <c r="H79" s="51">
        <v>49</v>
      </c>
      <c r="I79" s="51">
        <v>26</v>
      </c>
      <c r="J79" s="51">
        <v>11</v>
      </c>
      <c r="K79" s="51">
        <v>29</v>
      </c>
      <c r="L79" s="51">
        <v>3</v>
      </c>
      <c r="M79" s="51">
        <v>9</v>
      </c>
      <c r="N79" s="60"/>
    </row>
    <row r="80" spans="1:14" x14ac:dyDescent="0.25">
      <c r="A80" s="45">
        <v>786</v>
      </c>
      <c r="B80" s="45" t="s">
        <v>154</v>
      </c>
      <c r="C80" s="59">
        <v>42279</v>
      </c>
      <c r="D80" s="46" t="str">
        <f t="shared" si="2"/>
        <v>V</v>
      </c>
      <c r="E80" s="61">
        <f t="shared" si="3"/>
        <v>40</v>
      </c>
      <c r="F80" s="45" t="s">
        <v>76</v>
      </c>
      <c r="G80" s="51">
        <v>21</v>
      </c>
      <c r="H80" s="51">
        <v>35</v>
      </c>
      <c r="I80" s="51">
        <v>7</v>
      </c>
      <c r="J80" s="51">
        <v>32</v>
      </c>
      <c r="K80" s="51">
        <v>18</v>
      </c>
      <c r="L80" s="51">
        <v>11</v>
      </c>
      <c r="M80" s="51">
        <v>2</v>
      </c>
      <c r="N80" s="60"/>
    </row>
    <row r="81" spans="1:14" x14ac:dyDescent="0.25">
      <c r="A81" s="45">
        <v>787</v>
      </c>
      <c r="B81" s="45" t="s">
        <v>155</v>
      </c>
      <c r="C81" s="59">
        <v>42283</v>
      </c>
      <c r="D81" s="46" t="str">
        <f t="shared" si="2"/>
        <v>M</v>
      </c>
      <c r="E81" s="61">
        <f t="shared" si="3"/>
        <v>41</v>
      </c>
      <c r="F81" s="45" t="s">
        <v>76</v>
      </c>
      <c r="G81" s="51">
        <v>22</v>
      </c>
      <c r="H81" s="51">
        <v>32</v>
      </c>
      <c r="I81" s="51">
        <v>29</v>
      </c>
      <c r="J81" s="51">
        <v>11</v>
      </c>
      <c r="K81" s="51">
        <v>20</v>
      </c>
      <c r="L81" s="51">
        <v>1</v>
      </c>
      <c r="M81" s="51">
        <v>8</v>
      </c>
      <c r="N81" s="60"/>
    </row>
    <row r="82" spans="1:14" x14ac:dyDescent="0.25">
      <c r="A82" s="45">
        <v>788</v>
      </c>
      <c r="B82" s="45" t="s">
        <v>156</v>
      </c>
      <c r="C82" s="59">
        <v>42286</v>
      </c>
      <c r="D82" s="46" t="str">
        <f t="shared" si="2"/>
        <v>V</v>
      </c>
      <c r="E82" s="61">
        <f t="shared" si="3"/>
        <v>41</v>
      </c>
      <c r="F82" s="45" t="s">
        <v>76</v>
      </c>
      <c r="G82" s="51">
        <v>43</v>
      </c>
      <c r="H82" s="51">
        <v>42</v>
      </c>
      <c r="I82" s="51">
        <v>47</v>
      </c>
      <c r="J82" s="51">
        <v>40</v>
      </c>
      <c r="K82" s="51">
        <v>1</v>
      </c>
      <c r="L82" s="51">
        <v>9</v>
      </c>
      <c r="M82" s="51">
        <v>11</v>
      </c>
      <c r="N82" s="60"/>
    </row>
    <row r="83" spans="1:14" x14ac:dyDescent="0.25">
      <c r="A83" s="45">
        <v>789</v>
      </c>
      <c r="B83" s="45" t="s">
        <v>157</v>
      </c>
      <c r="C83" s="59">
        <v>42290</v>
      </c>
      <c r="D83" s="46" t="str">
        <f t="shared" si="2"/>
        <v>M</v>
      </c>
      <c r="E83" s="61">
        <f t="shared" si="3"/>
        <v>42</v>
      </c>
      <c r="F83" s="45" t="s">
        <v>76</v>
      </c>
      <c r="G83" s="51">
        <v>26</v>
      </c>
      <c r="H83" s="51">
        <v>15</v>
      </c>
      <c r="I83" s="51">
        <v>12</v>
      </c>
      <c r="J83" s="51">
        <v>47</v>
      </c>
      <c r="K83" s="51">
        <v>29</v>
      </c>
      <c r="L83" s="51">
        <v>11</v>
      </c>
      <c r="M83" s="51">
        <v>3</v>
      </c>
      <c r="N83" s="60"/>
    </row>
    <row r="84" spans="1:14" x14ac:dyDescent="0.25">
      <c r="A84" s="45">
        <v>790</v>
      </c>
      <c r="B84" s="45" t="s">
        <v>158</v>
      </c>
      <c r="C84" s="59">
        <v>42293</v>
      </c>
      <c r="D84" s="46" t="str">
        <f t="shared" si="2"/>
        <v>V</v>
      </c>
      <c r="E84" s="61">
        <f t="shared" si="3"/>
        <v>42</v>
      </c>
      <c r="F84" s="45" t="s">
        <v>76</v>
      </c>
      <c r="G84" s="51">
        <v>28</v>
      </c>
      <c r="H84" s="51">
        <v>43</v>
      </c>
      <c r="I84" s="51">
        <v>7</v>
      </c>
      <c r="J84" s="51">
        <v>48</v>
      </c>
      <c r="K84" s="51">
        <v>29</v>
      </c>
      <c r="L84" s="51">
        <v>3</v>
      </c>
      <c r="M84" s="51">
        <v>10</v>
      </c>
      <c r="N84" s="60"/>
    </row>
    <row r="85" spans="1:14" x14ac:dyDescent="0.25">
      <c r="A85" s="45">
        <v>791</v>
      </c>
      <c r="B85" s="45" t="s">
        <v>159</v>
      </c>
      <c r="C85" s="59">
        <v>42297</v>
      </c>
      <c r="D85" s="46" t="str">
        <f t="shared" si="2"/>
        <v>M</v>
      </c>
      <c r="E85" s="61">
        <f t="shared" si="3"/>
        <v>43</v>
      </c>
      <c r="F85" s="45" t="s">
        <v>76</v>
      </c>
      <c r="G85" s="51">
        <v>21</v>
      </c>
      <c r="H85" s="51">
        <v>19</v>
      </c>
      <c r="I85" s="51">
        <v>30</v>
      </c>
      <c r="J85" s="51">
        <v>45</v>
      </c>
      <c r="K85" s="51">
        <v>17</v>
      </c>
      <c r="L85" s="51">
        <v>8</v>
      </c>
      <c r="M85" s="51">
        <v>10</v>
      </c>
      <c r="N85" s="60"/>
    </row>
    <row r="86" spans="1:14" x14ac:dyDescent="0.25">
      <c r="A86" s="45">
        <v>792</v>
      </c>
      <c r="B86" s="45" t="s">
        <v>160</v>
      </c>
      <c r="C86" s="59">
        <v>42300</v>
      </c>
      <c r="D86" s="46" t="str">
        <f t="shared" si="2"/>
        <v>V</v>
      </c>
      <c r="E86" s="61">
        <f t="shared" si="3"/>
        <v>43</v>
      </c>
      <c r="F86" s="45" t="s">
        <v>76</v>
      </c>
      <c r="G86" s="51">
        <v>25</v>
      </c>
      <c r="H86" s="51">
        <v>7</v>
      </c>
      <c r="I86" s="51">
        <v>32</v>
      </c>
      <c r="J86" s="51">
        <v>39</v>
      </c>
      <c r="K86" s="51">
        <v>30</v>
      </c>
      <c r="L86" s="51">
        <v>2</v>
      </c>
      <c r="M86" s="51">
        <v>8</v>
      </c>
      <c r="N86" s="60"/>
    </row>
    <row r="87" spans="1:14" x14ac:dyDescent="0.25">
      <c r="A87" s="45">
        <v>793</v>
      </c>
      <c r="B87" s="45" t="s">
        <v>161</v>
      </c>
      <c r="C87" s="59">
        <v>42304</v>
      </c>
      <c r="D87" s="46" t="str">
        <f t="shared" si="2"/>
        <v>M</v>
      </c>
      <c r="E87" s="61">
        <f t="shared" si="3"/>
        <v>44</v>
      </c>
      <c r="F87" s="45" t="s">
        <v>76</v>
      </c>
      <c r="G87" s="51">
        <v>11</v>
      </c>
      <c r="H87" s="51">
        <v>20</v>
      </c>
      <c r="I87" s="51">
        <v>25</v>
      </c>
      <c r="J87" s="51">
        <v>36</v>
      </c>
      <c r="K87" s="51">
        <v>12</v>
      </c>
      <c r="L87" s="51">
        <v>9</v>
      </c>
      <c r="M87" s="51">
        <v>6</v>
      </c>
      <c r="N87" s="60"/>
    </row>
    <row r="88" spans="1:14" x14ac:dyDescent="0.25">
      <c r="A88" s="45">
        <v>794</v>
      </c>
      <c r="B88" s="45" t="s">
        <v>162</v>
      </c>
      <c r="C88" s="59">
        <v>42307</v>
      </c>
      <c r="D88" s="46" t="str">
        <f t="shared" si="2"/>
        <v>V</v>
      </c>
      <c r="E88" s="61">
        <f t="shared" si="3"/>
        <v>44</v>
      </c>
      <c r="F88" s="45" t="s">
        <v>76</v>
      </c>
      <c r="G88" s="51">
        <v>34</v>
      </c>
      <c r="H88" s="51">
        <v>13</v>
      </c>
      <c r="I88" s="51">
        <v>17</v>
      </c>
      <c r="J88" s="51">
        <v>8</v>
      </c>
      <c r="K88" s="51">
        <v>21</v>
      </c>
      <c r="L88" s="51">
        <v>6</v>
      </c>
      <c r="M88" s="51">
        <v>7</v>
      </c>
      <c r="N88" s="60"/>
    </row>
    <row r="89" spans="1:14" x14ac:dyDescent="0.25">
      <c r="A89" s="45">
        <v>795</v>
      </c>
      <c r="B89" s="45" t="s">
        <v>163</v>
      </c>
      <c r="C89" s="59">
        <v>42311</v>
      </c>
      <c r="D89" s="46" t="str">
        <f t="shared" si="2"/>
        <v>M</v>
      </c>
      <c r="E89" s="61">
        <f t="shared" si="3"/>
        <v>45</v>
      </c>
      <c r="F89" s="45" t="s">
        <v>76</v>
      </c>
      <c r="G89" s="51">
        <v>39</v>
      </c>
      <c r="H89" s="51">
        <v>27</v>
      </c>
      <c r="I89" s="51">
        <v>49</v>
      </c>
      <c r="J89" s="51">
        <v>8</v>
      </c>
      <c r="K89" s="51">
        <v>46</v>
      </c>
      <c r="L89" s="51">
        <v>2</v>
      </c>
      <c r="M89" s="51">
        <v>6</v>
      </c>
      <c r="N89" s="60"/>
    </row>
    <row r="90" spans="1:14" x14ac:dyDescent="0.25">
      <c r="A90" s="45">
        <v>796</v>
      </c>
      <c r="B90" s="45" t="s">
        <v>164</v>
      </c>
      <c r="C90" s="59">
        <v>42314</v>
      </c>
      <c r="D90" s="46" t="str">
        <f t="shared" si="2"/>
        <v>V</v>
      </c>
      <c r="E90" s="61">
        <f t="shared" si="3"/>
        <v>45</v>
      </c>
      <c r="F90" s="45" t="s">
        <v>76</v>
      </c>
      <c r="G90" s="51">
        <v>26</v>
      </c>
      <c r="H90" s="51">
        <v>40</v>
      </c>
      <c r="I90" s="51">
        <v>38</v>
      </c>
      <c r="J90" s="51">
        <v>17</v>
      </c>
      <c r="K90" s="51">
        <v>3</v>
      </c>
      <c r="L90" s="51">
        <v>4</v>
      </c>
      <c r="M90" s="51">
        <v>10</v>
      </c>
      <c r="N90" s="60"/>
    </row>
    <row r="91" spans="1:14" x14ac:dyDescent="0.25">
      <c r="A91" s="45">
        <v>797</v>
      </c>
      <c r="B91" s="45" t="s">
        <v>165</v>
      </c>
      <c r="C91" s="59">
        <v>42318</v>
      </c>
      <c r="D91" s="46" t="str">
        <f t="shared" si="2"/>
        <v>M</v>
      </c>
      <c r="E91" s="61">
        <f t="shared" si="3"/>
        <v>46</v>
      </c>
      <c r="F91" s="45" t="s">
        <v>76</v>
      </c>
      <c r="G91" s="51">
        <v>43</v>
      </c>
      <c r="H91" s="51">
        <v>39</v>
      </c>
      <c r="I91" s="51">
        <v>13</v>
      </c>
      <c r="J91" s="51">
        <v>6</v>
      </c>
      <c r="K91" s="51">
        <v>18</v>
      </c>
      <c r="L91" s="51">
        <v>2</v>
      </c>
      <c r="M91" s="51">
        <v>8</v>
      </c>
      <c r="N91" s="60"/>
    </row>
    <row r="92" spans="1:14" x14ac:dyDescent="0.25">
      <c r="A92" s="45">
        <v>798</v>
      </c>
      <c r="B92" s="45" t="s">
        <v>166</v>
      </c>
      <c r="C92" s="59">
        <v>42321</v>
      </c>
      <c r="D92" s="46" t="str">
        <f t="shared" si="2"/>
        <v>V</v>
      </c>
      <c r="E92" s="61">
        <f t="shared" si="3"/>
        <v>46</v>
      </c>
      <c r="F92" s="45" t="s">
        <v>76</v>
      </c>
      <c r="G92" s="51">
        <v>33</v>
      </c>
      <c r="H92" s="51">
        <v>10</v>
      </c>
      <c r="I92" s="51">
        <v>18</v>
      </c>
      <c r="J92" s="51">
        <v>40</v>
      </c>
      <c r="K92" s="51">
        <v>17</v>
      </c>
      <c r="L92" s="51">
        <v>8</v>
      </c>
      <c r="M92" s="51">
        <v>2</v>
      </c>
      <c r="N92" s="60"/>
    </row>
    <row r="93" spans="1:14" x14ac:dyDescent="0.25">
      <c r="A93" s="45">
        <v>799</v>
      </c>
      <c r="B93" s="45" t="s">
        <v>167</v>
      </c>
      <c r="C93" s="59">
        <v>42325</v>
      </c>
      <c r="D93" s="46" t="str">
        <f t="shared" si="2"/>
        <v>M</v>
      </c>
      <c r="E93" s="61">
        <f t="shared" si="3"/>
        <v>47</v>
      </c>
      <c r="F93" s="45" t="s">
        <v>76</v>
      </c>
      <c r="G93" s="51">
        <v>6</v>
      </c>
      <c r="H93" s="51">
        <v>37</v>
      </c>
      <c r="I93" s="51">
        <v>23</v>
      </c>
      <c r="J93" s="51">
        <v>38</v>
      </c>
      <c r="K93" s="51">
        <v>7</v>
      </c>
      <c r="L93" s="51">
        <v>11</v>
      </c>
      <c r="M93" s="51">
        <v>10</v>
      </c>
      <c r="N93" s="60"/>
    </row>
    <row r="94" spans="1:14" x14ac:dyDescent="0.25">
      <c r="A94" s="45">
        <v>800</v>
      </c>
      <c r="B94" s="45" t="s">
        <v>168</v>
      </c>
      <c r="C94" s="59">
        <v>42328</v>
      </c>
      <c r="D94" s="46" t="str">
        <f t="shared" si="2"/>
        <v>V</v>
      </c>
      <c r="E94" s="61">
        <f t="shared" si="3"/>
        <v>47</v>
      </c>
      <c r="F94" s="45" t="s">
        <v>76</v>
      </c>
      <c r="G94" s="51">
        <v>34</v>
      </c>
      <c r="H94" s="51">
        <v>49</v>
      </c>
      <c r="I94" s="51">
        <v>30</v>
      </c>
      <c r="J94" s="51">
        <v>46</v>
      </c>
      <c r="K94" s="51">
        <v>4</v>
      </c>
      <c r="L94" s="51">
        <v>8</v>
      </c>
      <c r="M94" s="51">
        <v>7</v>
      </c>
      <c r="N94" s="60"/>
    </row>
    <row r="95" spans="1:14" x14ac:dyDescent="0.25">
      <c r="A95" s="45">
        <v>801</v>
      </c>
      <c r="B95" s="45" t="s">
        <v>169</v>
      </c>
      <c r="C95" s="59">
        <v>42332</v>
      </c>
      <c r="D95" s="46" t="str">
        <f t="shared" si="2"/>
        <v>M</v>
      </c>
      <c r="E95" s="61">
        <f t="shared" si="3"/>
        <v>48</v>
      </c>
      <c r="F95" s="45" t="s">
        <v>76</v>
      </c>
      <c r="G95" s="51">
        <v>26</v>
      </c>
      <c r="H95" s="51">
        <v>14</v>
      </c>
      <c r="I95" s="51">
        <v>17</v>
      </c>
      <c r="J95" s="51">
        <v>9</v>
      </c>
      <c r="K95" s="51">
        <v>16</v>
      </c>
      <c r="L95" s="51">
        <v>10</v>
      </c>
      <c r="M95" s="51">
        <v>11</v>
      </c>
      <c r="N95" s="60"/>
    </row>
    <row r="96" spans="1:14" x14ac:dyDescent="0.25">
      <c r="A96" s="45">
        <v>802</v>
      </c>
      <c r="B96" s="45" t="s">
        <v>170</v>
      </c>
      <c r="C96" s="59">
        <v>42335</v>
      </c>
      <c r="D96" s="46" t="str">
        <f t="shared" si="2"/>
        <v>V</v>
      </c>
      <c r="E96" s="61">
        <f t="shared" si="3"/>
        <v>48</v>
      </c>
      <c r="F96" s="45" t="s">
        <v>76</v>
      </c>
      <c r="G96" s="51">
        <v>50</v>
      </c>
      <c r="H96" s="51">
        <v>16</v>
      </c>
      <c r="I96" s="51">
        <v>30</v>
      </c>
      <c r="J96" s="51">
        <v>37</v>
      </c>
      <c r="K96" s="51">
        <v>29</v>
      </c>
      <c r="L96" s="51">
        <v>6</v>
      </c>
      <c r="M96" s="51">
        <v>8</v>
      </c>
      <c r="N96" s="60"/>
    </row>
    <row r="97" spans="1:14" x14ac:dyDescent="0.25">
      <c r="A97" s="45">
        <v>803</v>
      </c>
      <c r="B97" s="45" t="s">
        <v>171</v>
      </c>
      <c r="C97" s="59">
        <v>42339</v>
      </c>
      <c r="D97" s="46" t="str">
        <f t="shared" si="2"/>
        <v>M</v>
      </c>
      <c r="E97" s="61">
        <f t="shared" si="3"/>
        <v>49</v>
      </c>
      <c r="F97" s="45" t="s">
        <v>76</v>
      </c>
      <c r="G97" s="51">
        <v>35</v>
      </c>
      <c r="H97" s="51">
        <v>15</v>
      </c>
      <c r="I97" s="51">
        <v>45</v>
      </c>
      <c r="J97" s="51">
        <v>25</v>
      </c>
      <c r="K97" s="51">
        <v>2</v>
      </c>
      <c r="L97" s="51">
        <v>10</v>
      </c>
      <c r="M97" s="51">
        <v>8</v>
      </c>
      <c r="N97" s="60"/>
    </row>
    <row r="98" spans="1:14" x14ac:dyDescent="0.25">
      <c r="A98" s="45">
        <v>804</v>
      </c>
      <c r="B98" s="45" t="s">
        <v>172</v>
      </c>
      <c r="C98" s="59">
        <v>42342</v>
      </c>
      <c r="D98" s="46" t="str">
        <f t="shared" si="2"/>
        <v>V</v>
      </c>
      <c r="E98" s="61">
        <f t="shared" si="3"/>
        <v>49</v>
      </c>
      <c r="F98" s="45" t="s">
        <v>76</v>
      </c>
      <c r="G98" s="51">
        <v>17</v>
      </c>
      <c r="H98" s="51">
        <v>27</v>
      </c>
      <c r="I98" s="51">
        <v>18</v>
      </c>
      <c r="J98" s="51">
        <v>39</v>
      </c>
      <c r="K98" s="51">
        <v>8</v>
      </c>
      <c r="L98" s="51">
        <v>7</v>
      </c>
      <c r="M98" s="51">
        <v>1</v>
      </c>
      <c r="N98" s="60"/>
    </row>
    <row r="99" spans="1:14" x14ac:dyDescent="0.25">
      <c r="A99" s="45">
        <v>805</v>
      </c>
      <c r="B99" s="45" t="s">
        <v>173</v>
      </c>
      <c r="C99" s="59">
        <v>42346</v>
      </c>
      <c r="D99" s="46" t="str">
        <f t="shared" si="2"/>
        <v>M</v>
      </c>
      <c r="E99" s="61">
        <f t="shared" si="3"/>
        <v>50</v>
      </c>
      <c r="F99" s="45" t="s">
        <v>76</v>
      </c>
      <c r="G99" s="51">
        <v>48</v>
      </c>
      <c r="H99" s="51">
        <v>29</v>
      </c>
      <c r="I99" s="51">
        <v>12</v>
      </c>
      <c r="J99" s="51">
        <v>38</v>
      </c>
      <c r="K99" s="51">
        <v>17</v>
      </c>
      <c r="L99" s="51">
        <v>9</v>
      </c>
      <c r="M99" s="51">
        <v>11</v>
      </c>
      <c r="N99" s="60"/>
    </row>
    <row r="100" spans="1:14" x14ac:dyDescent="0.25">
      <c r="A100" s="45">
        <v>806</v>
      </c>
      <c r="B100" s="45" t="s">
        <v>174</v>
      </c>
      <c r="C100" s="59">
        <v>42349</v>
      </c>
      <c r="D100" s="46" t="str">
        <f t="shared" si="2"/>
        <v>V</v>
      </c>
      <c r="E100" s="61">
        <f t="shared" si="3"/>
        <v>50</v>
      </c>
      <c r="F100" s="45" t="s">
        <v>76</v>
      </c>
      <c r="G100" s="51">
        <v>43</v>
      </c>
      <c r="H100" s="51">
        <v>5</v>
      </c>
      <c r="I100" s="51">
        <v>21</v>
      </c>
      <c r="J100" s="51">
        <v>3</v>
      </c>
      <c r="K100" s="51">
        <v>40</v>
      </c>
      <c r="L100" s="51">
        <v>11</v>
      </c>
      <c r="M100" s="51">
        <v>6</v>
      </c>
      <c r="N100" s="60"/>
    </row>
    <row r="101" spans="1:14" x14ac:dyDescent="0.25">
      <c r="A101" s="45">
        <v>807</v>
      </c>
      <c r="B101" s="45" t="s">
        <v>175</v>
      </c>
      <c r="C101" s="59">
        <v>42353</v>
      </c>
      <c r="D101" s="46" t="str">
        <f t="shared" si="2"/>
        <v>M</v>
      </c>
      <c r="E101" s="61">
        <f t="shared" si="3"/>
        <v>51</v>
      </c>
      <c r="F101" s="45" t="s">
        <v>76</v>
      </c>
      <c r="G101" s="51">
        <v>11</v>
      </c>
      <c r="H101" s="51">
        <v>27</v>
      </c>
      <c r="I101" s="51">
        <v>35</v>
      </c>
      <c r="J101" s="51">
        <v>8</v>
      </c>
      <c r="K101" s="51">
        <v>23</v>
      </c>
      <c r="L101" s="51">
        <v>4</v>
      </c>
      <c r="M101" s="51">
        <v>11</v>
      </c>
      <c r="N101" s="60"/>
    </row>
    <row r="102" spans="1:14" x14ac:dyDescent="0.25">
      <c r="A102" s="45">
        <v>808</v>
      </c>
      <c r="B102" s="45" t="s">
        <v>176</v>
      </c>
      <c r="C102" s="59">
        <v>42356</v>
      </c>
      <c r="D102" s="46" t="str">
        <f t="shared" si="2"/>
        <v>V</v>
      </c>
      <c r="E102" s="61">
        <f t="shared" si="3"/>
        <v>51</v>
      </c>
      <c r="F102" s="45" t="s">
        <v>76</v>
      </c>
      <c r="G102" s="51">
        <v>22</v>
      </c>
      <c r="H102" s="51">
        <v>6</v>
      </c>
      <c r="I102" s="51">
        <v>26</v>
      </c>
      <c r="J102" s="51">
        <v>29</v>
      </c>
      <c r="K102" s="51">
        <v>48</v>
      </c>
      <c r="L102" s="51">
        <v>5</v>
      </c>
      <c r="M102" s="51">
        <v>6</v>
      </c>
      <c r="N102" s="60"/>
    </row>
    <row r="103" spans="1:14" x14ac:dyDescent="0.25">
      <c r="A103" s="45">
        <v>809</v>
      </c>
      <c r="B103" s="45" t="s">
        <v>177</v>
      </c>
      <c r="C103" s="59">
        <v>42360</v>
      </c>
      <c r="D103" s="46" t="str">
        <f t="shared" si="2"/>
        <v>M</v>
      </c>
      <c r="E103" s="61">
        <f t="shared" si="3"/>
        <v>52</v>
      </c>
      <c r="F103" s="45" t="s">
        <v>76</v>
      </c>
      <c r="G103" s="51">
        <v>19</v>
      </c>
      <c r="H103" s="51">
        <v>41</v>
      </c>
      <c r="I103" s="51">
        <v>18</v>
      </c>
      <c r="J103" s="51">
        <v>40</v>
      </c>
      <c r="K103" s="51">
        <v>20</v>
      </c>
      <c r="L103" s="51">
        <v>7</v>
      </c>
      <c r="M103" s="51">
        <v>10</v>
      </c>
      <c r="N103" s="60"/>
    </row>
    <row r="104" spans="1:14" x14ac:dyDescent="0.25">
      <c r="A104" s="45">
        <v>810</v>
      </c>
      <c r="B104" s="45" t="s">
        <v>178</v>
      </c>
      <c r="C104" s="59">
        <v>42363</v>
      </c>
      <c r="D104" s="46" t="str">
        <f t="shared" si="2"/>
        <v>V</v>
      </c>
      <c r="E104" s="61">
        <f t="shared" si="3"/>
        <v>52</v>
      </c>
      <c r="F104" s="45" t="s">
        <v>76</v>
      </c>
      <c r="G104" s="51">
        <v>10</v>
      </c>
      <c r="H104" s="51">
        <v>27</v>
      </c>
      <c r="I104" s="51">
        <v>40</v>
      </c>
      <c r="J104" s="51">
        <v>3</v>
      </c>
      <c r="K104" s="51">
        <v>25</v>
      </c>
      <c r="L104" s="51">
        <v>9</v>
      </c>
      <c r="M104" s="51">
        <v>3</v>
      </c>
      <c r="N104" s="60"/>
    </row>
    <row r="105" spans="1:14" x14ac:dyDescent="0.25">
      <c r="A105" s="45">
        <v>811</v>
      </c>
      <c r="B105" s="45" t="s">
        <v>179</v>
      </c>
      <c r="C105" s="59">
        <v>42367</v>
      </c>
      <c r="D105" s="46" t="str">
        <f t="shared" si="2"/>
        <v>M</v>
      </c>
      <c r="E105" s="61">
        <f t="shared" si="3"/>
        <v>53</v>
      </c>
      <c r="F105" s="45" t="s">
        <v>76</v>
      </c>
      <c r="G105" s="51">
        <v>5</v>
      </c>
      <c r="H105" s="51">
        <v>36</v>
      </c>
      <c r="I105" s="51">
        <v>32</v>
      </c>
      <c r="J105" s="51">
        <v>31</v>
      </c>
      <c r="K105" s="51">
        <v>20</v>
      </c>
      <c r="L105" s="51">
        <v>6</v>
      </c>
      <c r="M105" s="51">
        <v>7</v>
      </c>
      <c r="N105" s="60"/>
    </row>
    <row r="106" spans="1:14" x14ac:dyDescent="0.25">
      <c r="A106" s="45">
        <v>812</v>
      </c>
      <c r="B106" s="45" t="s">
        <v>180</v>
      </c>
      <c r="C106" s="59">
        <v>42370</v>
      </c>
      <c r="D106" s="46" t="str">
        <f t="shared" si="2"/>
        <v>V</v>
      </c>
      <c r="E106" s="61">
        <f t="shared" si="3"/>
        <v>53</v>
      </c>
      <c r="F106" s="45" t="s">
        <v>76</v>
      </c>
      <c r="G106" s="51">
        <v>44</v>
      </c>
      <c r="H106" s="51">
        <v>37</v>
      </c>
      <c r="I106" s="51">
        <v>38</v>
      </c>
      <c r="J106" s="51">
        <v>39</v>
      </c>
      <c r="K106" s="51">
        <v>4</v>
      </c>
      <c r="L106" s="51">
        <v>4</v>
      </c>
      <c r="M106" s="51">
        <v>7</v>
      </c>
      <c r="N106" s="60"/>
    </row>
    <row r="107" spans="1:14" x14ac:dyDescent="0.25">
      <c r="A107" s="45">
        <v>813</v>
      </c>
      <c r="B107" s="45" t="s">
        <v>181</v>
      </c>
      <c r="C107" s="59">
        <v>42374</v>
      </c>
      <c r="D107" s="46" t="str">
        <f t="shared" si="2"/>
        <v>M</v>
      </c>
      <c r="E107" s="61">
        <f t="shared" si="3"/>
        <v>1</v>
      </c>
      <c r="F107" s="45" t="s">
        <v>76</v>
      </c>
      <c r="G107" s="51">
        <v>36</v>
      </c>
      <c r="H107" s="51">
        <v>10</v>
      </c>
      <c r="I107" s="51">
        <v>6</v>
      </c>
      <c r="J107" s="51">
        <v>39</v>
      </c>
      <c r="K107" s="51">
        <v>31</v>
      </c>
      <c r="L107" s="51">
        <v>6</v>
      </c>
      <c r="M107" s="51">
        <v>10</v>
      </c>
      <c r="N107" s="60"/>
    </row>
    <row r="108" spans="1:14" x14ac:dyDescent="0.25">
      <c r="A108" s="45">
        <v>814</v>
      </c>
      <c r="B108" s="45" t="s">
        <v>182</v>
      </c>
      <c r="C108" s="59">
        <v>42377</v>
      </c>
      <c r="D108" s="46" t="str">
        <f t="shared" si="2"/>
        <v>V</v>
      </c>
      <c r="E108" s="61">
        <f t="shared" si="3"/>
        <v>1</v>
      </c>
      <c r="F108" s="45" t="s">
        <v>76</v>
      </c>
      <c r="G108" s="51">
        <v>35</v>
      </c>
      <c r="H108" s="51">
        <v>33</v>
      </c>
      <c r="I108" s="51">
        <v>26</v>
      </c>
      <c r="J108" s="51">
        <v>40</v>
      </c>
      <c r="K108" s="51">
        <v>5</v>
      </c>
      <c r="L108" s="51">
        <v>3</v>
      </c>
      <c r="M108" s="51">
        <v>8</v>
      </c>
      <c r="N108" s="60"/>
    </row>
    <row r="109" spans="1:14" x14ac:dyDescent="0.25">
      <c r="A109" s="45">
        <v>815</v>
      </c>
      <c r="B109" s="45" t="s">
        <v>183</v>
      </c>
      <c r="C109" s="59">
        <v>42381</v>
      </c>
      <c r="D109" s="46" t="str">
        <f t="shared" si="2"/>
        <v>M</v>
      </c>
      <c r="E109" s="61">
        <f t="shared" si="3"/>
        <v>2</v>
      </c>
      <c r="F109" s="45" t="s">
        <v>76</v>
      </c>
      <c r="G109" s="51">
        <v>2</v>
      </c>
      <c r="H109" s="51">
        <v>10</v>
      </c>
      <c r="I109" s="51">
        <v>30</v>
      </c>
      <c r="J109" s="51">
        <v>44</v>
      </c>
      <c r="K109" s="51">
        <v>1</v>
      </c>
      <c r="L109" s="51">
        <v>1</v>
      </c>
      <c r="M109" s="51">
        <v>8</v>
      </c>
      <c r="N109" s="60"/>
    </row>
    <row r="110" spans="1:14" x14ac:dyDescent="0.25">
      <c r="A110" s="45">
        <v>816</v>
      </c>
      <c r="B110" s="45" t="s">
        <v>184</v>
      </c>
      <c r="C110" s="59">
        <v>42384</v>
      </c>
      <c r="D110" s="46" t="str">
        <f t="shared" si="2"/>
        <v>V</v>
      </c>
      <c r="E110" s="61">
        <f t="shared" si="3"/>
        <v>2</v>
      </c>
      <c r="F110" s="45" t="s">
        <v>76</v>
      </c>
      <c r="G110" s="51">
        <v>43</v>
      </c>
      <c r="H110" s="51">
        <v>38</v>
      </c>
      <c r="I110" s="51">
        <v>19</v>
      </c>
      <c r="J110" s="51">
        <v>10</v>
      </c>
      <c r="K110" s="51">
        <v>46</v>
      </c>
      <c r="L110" s="51">
        <v>1</v>
      </c>
      <c r="M110" s="51">
        <v>11</v>
      </c>
      <c r="N110" s="60"/>
    </row>
    <row r="111" spans="1:14" x14ac:dyDescent="0.25">
      <c r="A111" s="45">
        <v>817</v>
      </c>
      <c r="B111" s="45" t="s">
        <v>185</v>
      </c>
      <c r="C111" s="59">
        <v>42388</v>
      </c>
      <c r="D111" s="46" t="str">
        <f t="shared" si="2"/>
        <v>M</v>
      </c>
      <c r="E111" s="61">
        <f t="shared" si="3"/>
        <v>3</v>
      </c>
      <c r="F111" s="45" t="s">
        <v>76</v>
      </c>
      <c r="G111" s="51">
        <v>2</v>
      </c>
      <c r="H111" s="51">
        <v>30</v>
      </c>
      <c r="I111" s="51">
        <v>38</v>
      </c>
      <c r="J111" s="51">
        <v>43</v>
      </c>
      <c r="K111" s="51">
        <v>46</v>
      </c>
      <c r="L111" s="51">
        <v>7</v>
      </c>
      <c r="M111" s="51">
        <v>2</v>
      </c>
      <c r="N111" s="60"/>
    </row>
    <row r="112" spans="1:14" x14ac:dyDescent="0.25">
      <c r="A112" s="45">
        <v>818</v>
      </c>
      <c r="B112" s="45" t="s">
        <v>186</v>
      </c>
      <c r="C112" s="59">
        <v>42391</v>
      </c>
      <c r="D112" s="46" t="str">
        <f t="shared" si="2"/>
        <v>V</v>
      </c>
      <c r="E112" s="61">
        <f t="shared" si="3"/>
        <v>3</v>
      </c>
      <c r="F112" s="45" t="s">
        <v>76</v>
      </c>
      <c r="G112" s="51">
        <v>27</v>
      </c>
      <c r="H112" s="51">
        <v>10</v>
      </c>
      <c r="I112" s="51">
        <v>30</v>
      </c>
      <c r="J112" s="51">
        <v>47</v>
      </c>
      <c r="K112" s="51">
        <v>12</v>
      </c>
      <c r="L112" s="51">
        <v>9</v>
      </c>
      <c r="M112" s="51">
        <v>8</v>
      </c>
      <c r="N112" s="60"/>
    </row>
    <row r="113" spans="1:14" x14ac:dyDescent="0.25">
      <c r="A113" s="45">
        <v>819</v>
      </c>
      <c r="B113" s="45" t="s">
        <v>187</v>
      </c>
      <c r="C113" s="59">
        <v>42395</v>
      </c>
      <c r="D113" s="46" t="str">
        <f t="shared" si="2"/>
        <v>M</v>
      </c>
      <c r="E113" s="61">
        <f t="shared" si="3"/>
        <v>4</v>
      </c>
      <c r="F113" s="45" t="s">
        <v>76</v>
      </c>
      <c r="G113" s="51">
        <v>15</v>
      </c>
      <c r="H113" s="51">
        <v>40</v>
      </c>
      <c r="I113" s="51">
        <v>24</v>
      </c>
      <c r="J113" s="51">
        <v>48</v>
      </c>
      <c r="K113" s="51">
        <v>38</v>
      </c>
      <c r="L113" s="51">
        <v>2</v>
      </c>
      <c r="M113" s="51">
        <v>9</v>
      </c>
      <c r="N113" s="60"/>
    </row>
    <row r="114" spans="1:14" x14ac:dyDescent="0.25">
      <c r="A114" s="45">
        <v>820</v>
      </c>
      <c r="B114" s="45" t="s">
        <v>188</v>
      </c>
      <c r="C114" s="59">
        <v>42398</v>
      </c>
      <c r="D114" s="46" t="str">
        <f t="shared" si="2"/>
        <v>V</v>
      </c>
      <c r="E114" s="61">
        <f t="shared" si="3"/>
        <v>4</v>
      </c>
      <c r="F114" s="45" t="s">
        <v>76</v>
      </c>
      <c r="G114" s="51">
        <v>29</v>
      </c>
      <c r="H114" s="51">
        <v>32</v>
      </c>
      <c r="I114" s="51">
        <v>23</v>
      </c>
      <c r="J114" s="51">
        <v>1</v>
      </c>
      <c r="K114" s="51">
        <v>5</v>
      </c>
      <c r="L114" s="51">
        <v>1</v>
      </c>
      <c r="M114" s="51">
        <v>7</v>
      </c>
      <c r="N114" s="60"/>
    </row>
    <row r="115" spans="1:14" x14ac:dyDescent="0.25">
      <c r="A115" s="45">
        <v>821</v>
      </c>
      <c r="B115" s="45" t="s">
        <v>189</v>
      </c>
      <c r="C115" s="59">
        <v>42402</v>
      </c>
      <c r="D115" s="46" t="str">
        <f t="shared" si="2"/>
        <v>M</v>
      </c>
      <c r="E115" s="61">
        <f t="shared" si="3"/>
        <v>5</v>
      </c>
      <c r="F115" s="45" t="s">
        <v>76</v>
      </c>
      <c r="G115" s="51">
        <v>36</v>
      </c>
      <c r="H115" s="51">
        <v>21</v>
      </c>
      <c r="I115" s="51">
        <v>10</v>
      </c>
      <c r="J115" s="51">
        <v>6</v>
      </c>
      <c r="K115" s="51">
        <v>9</v>
      </c>
      <c r="L115" s="51">
        <v>6</v>
      </c>
      <c r="M115" s="51">
        <v>2</v>
      </c>
      <c r="N115" s="60"/>
    </row>
    <row r="116" spans="1:14" x14ac:dyDescent="0.25">
      <c r="A116" s="45">
        <v>822</v>
      </c>
      <c r="B116" s="45" t="s">
        <v>190</v>
      </c>
      <c r="C116" s="59">
        <v>42405</v>
      </c>
      <c r="D116" s="46" t="str">
        <f t="shared" si="2"/>
        <v>V</v>
      </c>
      <c r="E116" s="61">
        <f t="shared" si="3"/>
        <v>5</v>
      </c>
      <c r="F116" s="45" t="s">
        <v>76</v>
      </c>
      <c r="G116" s="51">
        <v>46</v>
      </c>
      <c r="H116" s="51">
        <v>32</v>
      </c>
      <c r="I116" s="51">
        <v>27</v>
      </c>
      <c r="J116" s="51">
        <v>3</v>
      </c>
      <c r="K116" s="51">
        <v>41</v>
      </c>
      <c r="L116" s="51">
        <v>4</v>
      </c>
      <c r="M116" s="51">
        <v>8</v>
      </c>
      <c r="N116" s="60"/>
    </row>
    <row r="117" spans="1:14" x14ac:dyDescent="0.25">
      <c r="A117" s="45">
        <v>823</v>
      </c>
      <c r="B117" s="45" t="s">
        <v>191</v>
      </c>
      <c r="C117" s="59">
        <v>42409</v>
      </c>
      <c r="D117" s="46" t="str">
        <f t="shared" si="2"/>
        <v>M</v>
      </c>
      <c r="E117" s="61">
        <f t="shared" si="3"/>
        <v>6</v>
      </c>
      <c r="F117" s="45" t="s">
        <v>76</v>
      </c>
      <c r="G117" s="51">
        <v>9</v>
      </c>
      <c r="H117" s="51">
        <v>6</v>
      </c>
      <c r="I117" s="51">
        <v>13</v>
      </c>
      <c r="J117" s="51">
        <v>28</v>
      </c>
      <c r="K117" s="51">
        <v>37</v>
      </c>
      <c r="L117" s="51">
        <v>4</v>
      </c>
      <c r="M117" s="51">
        <v>5</v>
      </c>
      <c r="N117" s="60"/>
    </row>
    <row r="118" spans="1:14" x14ac:dyDescent="0.25">
      <c r="A118" s="45">
        <v>824</v>
      </c>
      <c r="B118" s="45" t="s">
        <v>192</v>
      </c>
      <c r="C118" s="59">
        <v>42412</v>
      </c>
      <c r="D118" s="46" t="str">
        <f t="shared" si="2"/>
        <v>V</v>
      </c>
      <c r="E118" s="61">
        <f t="shared" si="3"/>
        <v>6</v>
      </c>
      <c r="F118" s="45" t="s">
        <v>76</v>
      </c>
      <c r="G118" s="51">
        <v>31</v>
      </c>
      <c r="H118" s="51">
        <v>49</v>
      </c>
      <c r="I118" s="51">
        <v>28</v>
      </c>
      <c r="J118" s="51">
        <v>20</v>
      </c>
      <c r="K118" s="51">
        <v>3</v>
      </c>
      <c r="L118" s="51">
        <v>5</v>
      </c>
      <c r="M118" s="51">
        <v>2</v>
      </c>
      <c r="N118" s="60"/>
    </row>
    <row r="119" spans="1:14" x14ac:dyDescent="0.25">
      <c r="A119" s="45">
        <v>825</v>
      </c>
      <c r="B119" s="45" t="s">
        <v>193</v>
      </c>
      <c r="C119" s="59">
        <v>42416</v>
      </c>
      <c r="D119" s="46" t="str">
        <f t="shared" si="2"/>
        <v>M</v>
      </c>
      <c r="E119" s="61">
        <f t="shared" si="3"/>
        <v>7</v>
      </c>
      <c r="F119" s="45" t="s">
        <v>76</v>
      </c>
      <c r="G119" s="51">
        <v>3</v>
      </c>
      <c r="H119" s="51">
        <v>22</v>
      </c>
      <c r="I119" s="51">
        <v>50</v>
      </c>
      <c r="J119" s="51">
        <v>10</v>
      </c>
      <c r="K119" s="51">
        <v>37</v>
      </c>
      <c r="L119" s="51">
        <v>6</v>
      </c>
      <c r="M119" s="51">
        <v>10</v>
      </c>
      <c r="N119" s="60"/>
    </row>
    <row r="120" spans="1:14" x14ac:dyDescent="0.25">
      <c r="A120" s="45">
        <v>826</v>
      </c>
      <c r="B120" s="45" t="s">
        <v>194</v>
      </c>
      <c r="C120" s="59">
        <v>42419</v>
      </c>
      <c r="D120" s="46" t="str">
        <f t="shared" si="2"/>
        <v>V</v>
      </c>
      <c r="E120" s="61">
        <f t="shared" si="3"/>
        <v>7</v>
      </c>
      <c r="F120" s="45" t="s">
        <v>76</v>
      </c>
      <c r="G120" s="51">
        <v>32</v>
      </c>
      <c r="H120" s="51">
        <v>13</v>
      </c>
      <c r="I120" s="51">
        <v>14</v>
      </c>
      <c r="J120" s="51">
        <v>39</v>
      </c>
      <c r="K120" s="51">
        <v>30</v>
      </c>
      <c r="L120" s="51">
        <v>3</v>
      </c>
      <c r="M120" s="51">
        <v>9</v>
      </c>
      <c r="N120" s="60"/>
    </row>
    <row r="121" spans="1:14" x14ac:dyDescent="0.25">
      <c r="A121" s="45">
        <v>827</v>
      </c>
      <c r="B121" s="45" t="s">
        <v>195</v>
      </c>
      <c r="C121" s="59">
        <v>42423</v>
      </c>
      <c r="D121" s="46" t="str">
        <f t="shared" si="2"/>
        <v>M</v>
      </c>
      <c r="E121" s="61">
        <f t="shared" si="3"/>
        <v>8</v>
      </c>
      <c r="F121" s="45" t="s">
        <v>76</v>
      </c>
      <c r="G121" s="51">
        <v>42</v>
      </c>
      <c r="H121" s="51">
        <v>32</v>
      </c>
      <c r="I121" s="51">
        <v>23</v>
      </c>
      <c r="J121" s="51">
        <v>25</v>
      </c>
      <c r="K121" s="51">
        <v>37</v>
      </c>
      <c r="L121" s="51">
        <v>11</v>
      </c>
      <c r="M121" s="51">
        <v>1</v>
      </c>
      <c r="N121" s="60"/>
    </row>
    <row r="122" spans="1:14" x14ac:dyDescent="0.25">
      <c r="A122" s="45">
        <v>828</v>
      </c>
      <c r="B122" s="45" t="s">
        <v>196</v>
      </c>
      <c r="C122" s="59">
        <v>42426</v>
      </c>
      <c r="D122" s="46" t="str">
        <f t="shared" si="2"/>
        <v>V</v>
      </c>
      <c r="E122" s="61">
        <f t="shared" si="3"/>
        <v>8</v>
      </c>
      <c r="F122" s="45" t="s">
        <v>76</v>
      </c>
      <c r="G122" s="51">
        <v>13</v>
      </c>
      <c r="H122" s="51">
        <v>50</v>
      </c>
      <c r="I122" s="51">
        <v>5</v>
      </c>
      <c r="J122" s="51">
        <v>33</v>
      </c>
      <c r="K122" s="51">
        <v>15</v>
      </c>
      <c r="L122" s="51">
        <v>9</v>
      </c>
      <c r="M122" s="51">
        <v>11</v>
      </c>
      <c r="N122" s="60"/>
    </row>
    <row r="123" spans="1:14" x14ac:dyDescent="0.25">
      <c r="A123" s="45">
        <v>829</v>
      </c>
      <c r="B123" s="45" t="s">
        <v>197</v>
      </c>
      <c r="C123" s="59">
        <v>42430</v>
      </c>
      <c r="D123" s="46" t="str">
        <f t="shared" si="2"/>
        <v>M</v>
      </c>
      <c r="E123" s="61">
        <f t="shared" si="3"/>
        <v>9</v>
      </c>
      <c r="F123" s="45" t="s">
        <v>76</v>
      </c>
      <c r="G123" s="51">
        <v>37</v>
      </c>
      <c r="H123" s="51">
        <v>7</v>
      </c>
      <c r="I123" s="51">
        <v>28</v>
      </c>
      <c r="J123" s="51">
        <v>13</v>
      </c>
      <c r="K123" s="51">
        <v>4</v>
      </c>
      <c r="L123" s="51">
        <v>11</v>
      </c>
      <c r="M123" s="51">
        <v>10</v>
      </c>
      <c r="N123" s="60"/>
    </row>
    <row r="124" spans="1:14" x14ac:dyDescent="0.25">
      <c r="A124" s="45">
        <v>830</v>
      </c>
      <c r="B124" s="45" t="s">
        <v>198</v>
      </c>
      <c r="C124" s="59">
        <v>42433</v>
      </c>
      <c r="D124" s="46" t="str">
        <f t="shared" si="2"/>
        <v>V</v>
      </c>
      <c r="E124" s="61">
        <f t="shared" si="3"/>
        <v>9</v>
      </c>
      <c r="F124" s="45" t="s">
        <v>76</v>
      </c>
      <c r="G124" s="51">
        <v>9</v>
      </c>
      <c r="H124" s="51">
        <v>23</v>
      </c>
      <c r="I124" s="51">
        <v>40</v>
      </c>
      <c r="J124" s="51">
        <v>16</v>
      </c>
      <c r="K124" s="51">
        <v>14</v>
      </c>
      <c r="L124" s="51">
        <v>1</v>
      </c>
      <c r="M124" s="51">
        <v>5</v>
      </c>
      <c r="N124" s="60"/>
    </row>
    <row r="125" spans="1:14" x14ac:dyDescent="0.25">
      <c r="A125" s="45">
        <v>831</v>
      </c>
      <c r="B125" s="45" t="s">
        <v>199</v>
      </c>
      <c r="C125" s="59">
        <v>42437</v>
      </c>
      <c r="D125" s="46" t="str">
        <f t="shared" si="2"/>
        <v>M</v>
      </c>
      <c r="E125" s="61">
        <f t="shared" si="3"/>
        <v>10</v>
      </c>
      <c r="F125" s="45" t="s">
        <v>76</v>
      </c>
      <c r="G125" s="51">
        <v>9</v>
      </c>
      <c r="H125" s="51">
        <v>14</v>
      </c>
      <c r="I125" s="51">
        <v>23</v>
      </c>
      <c r="J125" s="51">
        <v>8</v>
      </c>
      <c r="K125" s="51">
        <v>1</v>
      </c>
      <c r="L125" s="51">
        <v>7</v>
      </c>
      <c r="M125" s="51">
        <v>1</v>
      </c>
      <c r="N125" s="60"/>
    </row>
    <row r="126" spans="1:14" x14ac:dyDescent="0.25">
      <c r="A126" s="45">
        <v>832</v>
      </c>
      <c r="B126" s="45" t="s">
        <v>200</v>
      </c>
      <c r="C126" s="59">
        <v>42440</v>
      </c>
      <c r="D126" s="46" t="str">
        <f t="shared" si="2"/>
        <v>V</v>
      </c>
      <c r="E126" s="61">
        <f t="shared" si="3"/>
        <v>10</v>
      </c>
      <c r="F126" s="45" t="s">
        <v>76</v>
      </c>
      <c r="G126" s="51">
        <v>26</v>
      </c>
      <c r="H126" s="51">
        <v>43</v>
      </c>
      <c r="I126" s="51">
        <v>1</v>
      </c>
      <c r="J126" s="51">
        <v>21</v>
      </c>
      <c r="K126" s="51">
        <v>40</v>
      </c>
      <c r="L126" s="51">
        <v>9</v>
      </c>
      <c r="M126" s="51">
        <v>6</v>
      </c>
      <c r="N126" s="60"/>
    </row>
    <row r="127" spans="1:14" x14ac:dyDescent="0.25">
      <c r="A127" s="45">
        <v>833</v>
      </c>
      <c r="B127" s="45" t="s">
        <v>201</v>
      </c>
      <c r="C127" s="59">
        <v>42444</v>
      </c>
      <c r="D127" s="46" t="str">
        <f t="shared" si="2"/>
        <v>M</v>
      </c>
      <c r="E127" s="61">
        <f t="shared" si="3"/>
        <v>11</v>
      </c>
      <c r="F127" s="45" t="s">
        <v>76</v>
      </c>
      <c r="G127" s="51">
        <v>7</v>
      </c>
      <c r="H127" s="51">
        <v>10</v>
      </c>
      <c r="I127" s="51">
        <v>5</v>
      </c>
      <c r="J127" s="51">
        <v>44</v>
      </c>
      <c r="K127" s="51">
        <v>34</v>
      </c>
      <c r="L127" s="51">
        <v>10</v>
      </c>
      <c r="M127" s="51">
        <v>2</v>
      </c>
      <c r="N127" s="60"/>
    </row>
    <row r="128" spans="1:14" x14ac:dyDescent="0.25">
      <c r="A128" s="45">
        <v>834</v>
      </c>
      <c r="B128" s="45" t="s">
        <v>202</v>
      </c>
      <c r="C128" s="59">
        <v>42447</v>
      </c>
      <c r="D128" s="46" t="str">
        <f t="shared" si="2"/>
        <v>V</v>
      </c>
      <c r="E128" s="61">
        <f t="shared" si="3"/>
        <v>11</v>
      </c>
      <c r="F128" s="45" t="s">
        <v>76</v>
      </c>
      <c r="G128" s="51">
        <v>14</v>
      </c>
      <c r="H128" s="51">
        <v>49</v>
      </c>
      <c r="I128" s="51">
        <v>21</v>
      </c>
      <c r="J128" s="51">
        <v>19</v>
      </c>
      <c r="K128" s="51">
        <v>24</v>
      </c>
      <c r="L128" s="51">
        <v>5</v>
      </c>
      <c r="M128" s="51">
        <v>11</v>
      </c>
      <c r="N128" s="60"/>
    </row>
    <row r="129" spans="1:14" x14ac:dyDescent="0.25">
      <c r="A129" s="45">
        <v>835</v>
      </c>
      <c r="B129" s="45" t="s">
        <v>203</v>
      </c>
      <c r="C129" s="59">
        <v>42451</v>
      </c>
      <c r="D129" s="46" t="str">
        <f t="shared" si="2"/>
        <v>M</v>
      </c>
      <c r="E129" s="61">
        <f t="shared" si="3"/>
        <v>12</v>
      </c>
      <c r="F129" s="45" t="s">
        <v>76</v>
      </c>
      <c r="G129" s="51">
        <v>15</v>
      </c>
      <c r="H129" s="51">
        <v>49</v>
      </c>
      <c r="I129" s="51">
        <v>12</v>
      </c>
      <c r="J129" s="51">
        <v>26</v>
      </c>
      <c r="K129" s="51">
        <v>42</v>
      </c>
      <c r="L129" s="51">
        <v>5</v>
      </c>
      <c r="M129" s="51">
        <v>8</v>
      </c>
      <c r="N129" s="60"/>
    </row>
    <row r="130" spans="1:14" x14ac:dyDescent="0.25">
      <c r="A130" s="45">
        <v>836</v>
      </c>
      <c r="B130" s="45" t="s">
        <v>204</v>
      </c>
      <c r="C130" s="59">
        <v>42454</v>
      </c>
      <c r="D130" s="46" t="str">
        <f t="shared" ref="D130:D193" si="4">CHOOSE(WEEKDAY(C130),"D","L","M","X","J","V","S")</f>
        <v>V</v>
      </c>
      <c r="E130" s="61">
        <f t="shared" ref="E130:E193" si="5">WEEKNUM(C130,21)</f>
        <v>12</v>
      </c>
      <c r="F130" s="45" t="s">
        <v>76</v>
      </c>
      <c r="G130" s="51">
        <v>43</v>
      </c>
      <c r="H130" s="51">
        <v>36</v>
      </c>
      <c r="I130" s="51">
        <v>12</v>
      </c>
      <c r="J130" s="51">
        <v>42</v>
      </c>
      <c r="K130" s="51">
        <v>19</v>
      </c>
      <c r="L130" s="51">
        <v>8</v>
      </c>
      <c r="M130" s="51">
        <v>5</v>
      </c>
      <c r="N130" s="60"/>
    </row>
    <row r="131" spans="1:14" x14ac:dyDescent="0.25">
      <c r="A131" s="45">
        <v>837</v>
      </c>
      <c r="B131" s="45" t="s">
        <v>205</v>
      </c>
      <c r="C131" s="59">
        <v>42458</v>
      </c>
      <c r="D131" s="46" t="str">
        <f t="shared" si="4"/>
        <v>M</v>
      </c>
      <c r="E131" s="61">
        <f t="shared" si="5"/>
        <v>13</v>
      </c>
      <c r="F131" s="45" t="s">
        <v>76</v>
      </c>
      <c r="G131" s="51">
        <v>4</v>
      </c>
      <c r="H131" s="51">
        <v>25</v>
      </c>
      <c r="I131" s="51">
        <v>19</v>
      </c>
      <c r="J131" s="51">
        <v>36</v>
      </c>
      <c r="K131" s="51">
        <v>1</v>
      </c>
      <c r="L131" s="51">
        <v>3</v>
      </c>
      <c r="M131" s="51">
        <v>11</v>
      </c>
      <c r="N131" s="60"/>
    </row>
    <row r="132" spans="1:14" x14ac:dyDescent="0.25">
      <c r="A132" s="45">
        <v>838</v>
      </c>
      <c r="B132" s="45" t="s">
        <v>206</v>
      </c>
      <c r="C132" s="59">
        <v>42461</v>
      </c>
      <c r="D132" s="46" t="str">
        <f t="shared" si="4"/>
        <v>V</v>
      </c>
      <c r="E132" s="61">
        <f t="shared" si="5"/>
        <v>13</v>
      </c>
      <c r="F132" s="45" t="s">
        <v>76</v>
      </c>
      <c r="G132" s="51">
        <v>23</v>
      </c>
      <c r="H132" s="51">
        <v>25</v>
      </c>
      <c r="I132" s="51">
        <v>2</v>
      </c>
      <c r="J132" s="51">
        <v>49</v>
      </c>
      <c r="K132" s="51">
        <v>16</v>
      </c>
      <c r="L132" s="51">
        <v>6</v>
      </c>
      <c r="M132" s="51">
        <v>9</v>
      </c>
      <c r="N132" s="60"/>
    </row>
    <row r="133" spans="1:14" x14ac:dyDescent="0.25">
      <c r="A133" s="45">
        <v>839</v>
      </c>
      <c r="B133" s="45" t="s">
        <v>207</v>
      </c>
      <c r="C133" s="59">
        <v>42465</v>
      </c>
      <c r="D133" s="46" t="str">
        <f t="shared" si="4"/>
        <v>M</v>
      </c>
      <c r="E133" s="61">
        <f t="shared" si="5"/>
        <v>14</v>
      </c>
      <c r="F133" s="45" t="s">
        <v>76</v>
      </c>
      <c r="G133" s="51">
        <v>3</v>
      </c>
      <c r="H133" s="51">
        <v>19</v>
      </c>
      <c r="I133" s="51">
        <v>40</v>
      </c>
      <c r="J133" s="51">
        <v>9</v>
      </c>
      <c r="K133" s="51">
        <v>5</v>
      </c>
      <c r="L133" s="51">
        <v>5</v>
      </c>
      <c r="M133" s="51">
        <v>2</v>
      </c>
      <c r="N133" s="60"/>
    </row>
    <row r="134" spans="1:14" x14ac:dyDescent="0.25">
      <c r="A134" s="45">
        <v>840</v>
      </c>
      <c r="B134" s="45" t="s">
        <v>208</v>
      </c>
      <c r="C134" s="59">
        <v>42468</v>
      </c>
      <c r="D134" s="46" t="str">
        <f t="shared" si="4"/>
        <v>V</v>
      </c>
      <c r="E134" s="61">
        <f t="shared" si="5"/>
        <v>14</v>
      </c>
      <c r="F134" s="45" t="s">
        <v>76</v>
      </c>
      <c r="G134" s="51">
        <v>43</v>
      </c>
      <c r="H134" s="51">
        <v>8</v>
      </c>
      <c r="I134" s="51">
        <v>49</v>
      </c>
      <c r="J134" s="51">
        <v>6</v>
      </c>
      <c r="K134" s="51">
        <v>26</v>
      </c>
      <c r="L134" s="51">
        <v>10</v>
      </c>
      <c r="M134" s="51">
        <v>6</v>
      </c>
      <c r="N134" s="60"/>
    </row>
    <row r="135" spans="1:14" x14ac:dyDescent="0.25">
      <c r="A135" s="45">
        <v>841</v>
      </c>
      <c r="B135" s="45" t="s">
        <v>209</v>
      </c>
      <c r="C135" s="59">
        <v>42472</v>
      </c>
      <c r="D135" s="46" t="str">
        <f t="shared" si="4"/>
        <v>M</v>
      </c>
      <c r="E135" s="61">
        <f t="shared" si="5"/>
        <v>15</v>
      </c>
      <c r="F135" s="45" t="s">
        <v>76</v>
      </c>
      <c r="G135" s="51">
        <v>9</v>
      </c>
      <c r="H135" s="51">
        <v>1</v>
      </c>
      <c r="I135" s="51">
        <v>5</v>
      </c>
      <c r="J135" s="51">
        <v>22</v>
      </c>
      <c r="K135" s="51">
        <v>38</v>
      </c>
      <c r="L135" s="51">
        <v>10</v>
      </c>
      <c r="M135" s="51">
        <v>2</v>
      </c>
      <c r="N135" s="60"/>
    </row>
    <row r="136" spans="1:14" x14ac:dyDescent="0.25">
      <c r="A136" s="45">
        <v>842</v>
      </c>
      <c r="B136" s="45" t="s">
        <v>210</v>
      </c>
      <c r="C136" s="59">
        <v>42475</v>
      </c>
      <c r="D136" s="46" t="str">
        <f t="shared" si="4"/>
        <v>V</v>
      </c>
      <c r="E136" s="61">
        <f t="shared" si="5"/>
        <v>15</v>
      </c>
      <c r="F136" s="45" t="s">
        <v>76</v>
      </c>
      <c r="G136" s="51">
        <v>13</v>
      </c>
      <c r="H136" s="51">
        <v>32</v>
      </c>
      <c r="I136" s="51">
        <v>37</v>
      </c>
      <c r="J136" s="51">
        <v>14</v>
      </c>
      <c r="K136" s="51">
        <v>48</v>
      </c>
      <c r="L136" s="51">
        <v>1</v>
      </c>
      <c r="M136" s="51">
        <v>7</v>
      </c>
      <c r="N136" s="60"/>
    </row>
    <row r="137" spans="1:14" x14ac:dyDescent="0.25">
      <c r="A137" s="45">
        <v>843</v>
      </c>
      <c r="B137" s="45" t="s">
        <v>211</v>
      </c>
      <c r="C137" s="59">
        <v>42479</v>
      </c>
      <c r="D137" s="46" t="str">
        <f t="shared" si="4"/>
        <v>M</v>
      </c>
      <c r="E137" s="61">
        <f t="shared" si="5"/>
        <v>16</v>
      </c>
      <c r="F137" s="45" t="s">
        <v>76</v>
      </c>
      <c r="G137" s="51">
        <v>27</v>
      </c>
      <c r="H137" s="51">
        <v>14</v>
      </c>
      <c r="I137" s="51">
        <v>44</v>
      </c>
      <c r="J137" s="51">
        <v>15</v>
      </c>
      <c r="K137" s="51">
        <v>11</v>
      </c>
      <c r="L137" s="51">
        <v>7</v>
      </c>
      <c r="M137" s="51">
        <v>2</v>
      </c>
      <c r="N137" s="60"/>
    </row>
    <row r="138" spans="1:14" x14ac:dyDescent="0.25">
      <c r="A138" s="45">
        <v>844</v>
      </c>
      <c r="B138" s="45" t="s">
        <v>212</v>
      </c>
      <c r="C138" s="59">
        <v>42482</v>
      </c>
      <c r="D138" s="46" t="str">
        <f t="shared" si="4"/>
        <v>V</v>
      </c>
      <c r="E138" s="61">
        <f t="shared" si="5"/>
        <v>16</v>
      </c>
      <c r="F138" s="45" t="s">
        <v>76</v>
      </c>
      <c r="G138" s="51">
        <v>32</v>
      </c>
      <c r="H138" s="51">
        <v>43</v>
      </c>
      <c r="I138" s="51">
        <v>26</v>
      </c>
      <c r="J138" s="51">
        <v>34</v>
      </c>
      <c r="K138" s="51">
        <v>17</v>
      </c>
      <c r="L138" s="51">
        <v>2</v>
      </c>
      <c r="M138" s="51">
        <v>10</v>
      </c>
      <c r="N138" s="60"/>
    </row>
    <row r="139" spans="1:14" x14ac:dyDescent="0.25">
      <c r="A139" s="45">
        <v>845</v>
      </c>
      <c r="B139" s="45" t="s">
        <v>213</v>
      </c>
      <c r="C139" s="59">
        <v>42486</v>
      </c>
      <c r="D139" s="46" t="str">
        <f t="shared" si="4"/>
        <v>M</v>
      </c>
      <c r="E139" s="61">
        <f t="shared" si="5"/>
        <v>17</v>
      </c>
      <c r="F139" s="45" t="s">
        <v>76</v>
      </c>
      <c r="G139" s="51">
        <v>10</v>
      </c>
      <c r="H139" s="51">
        <v>42</v>
      </c>
      <c r="I139" s="51">
        <v>17</v>
      </c>
      <c r="J139" s="51">
        <v>32</v>
      </c>
      <c r="K139" s="51">
        <v>31</v>
      </c>
      <c r="L139" s="51">
        <v>2</v>
      </c>
      <c r="M139" s="51">
        <v>5</v>
      </c>
      <c r="N139" s="60"/>
    </row>
    <row r="140" spans="1:14" x14ac:dyDescent="0.25">
      <c r="A140" s="45">
        <v>846</v>
      </c>
      <c r="B140" s="45" t="s">
        <v>214</v>
      </c>
      <c r="C140" s="59">
        <v>42489</v>
      </c>
      <c r="D140" s="46" t="str">
        <f t="shared" si="4"/>
        <v>V</v>
      </c>
      <c r="E140" s="61">
        <f t="shared" si="5"/>
        <v>17</v>
      </c>
      <c r="F140" s="45" t="s">
        <v>76</v>
      </c>
      <c r="G140" s="51">
        <v>4</v>
      </c>
      <c r="H140" s="51">
        <v>25</v>
      </c>
      <c r="I140" s="51">
        <v>28</v>
      </c>
      <c r="J140" s="51">
        <v>5</v>
      </c>
      <c r="K140" s="51">
        <v>43</v>
      </c>
      <c r="L140" s="51">
        <v>6</v>
      </c>
      <c r="M140" s="51">
        <v>11</v>
      </c>
      <c r="N140" s="60"/>
    </row>
    <row r="141" spans="1:14" x14ac:dyDescent="0.25">
      <c r="A141" s="45">
        <v>847</v>
      </c>
      <c r="B141" s="45" t="s">
        <v>215</v>
      </c>
      <c r="C141" s="59">
        <v>42493</v>
      </c>
      <c r="D141" s="46" t="str">
        <f t="shared" si="4"/>
        <v>M</v>
      </c>
      <c r="E141" s="61">
        <f t="shared" si="5"/>
        <v>18</v>
      </c>
      <c r="F141" s="45" t="s">
        <v>76</v>
      </c>
      <c r="G141" s="51">
        <v>23</v>
      </c>
      <c r="H141" s="51">
        <v>34</v>
      </c>
      <c r="I141" s="51">
        <v>8</v>
      </c>
      <c r="J141" s="51">
        <v>24</v>
      </c>
      <c r="K141" s="51">
        <v>38</v>
      </c>
      <c r="L141" s="51">
        <v>3</v>
      </c>
      <c r="M141" s="51">
        <v>7</v>
      </c>
      <c r="N141" s="60"/>
    </row>
    <row r="142" spans="1:14" x14ac:dyDescent="0.25">
      <c r="A142" s="45">
        <v>848</v>
      </c>
      <c r="B142" s="45" t="s">
        <v>216</v>
      </c>
      <c r="C142" s="59">
        <v>42496</v>
      </c>
      <c r="D142" s="46" t="str">
        <f t="shared" si="4"/>
        <v>V</v>
      </c>
      <c r="E142" s="61">
        <f t="shared" si="5"/>
        <v>18</v>
      </c>
      <c r="F142" s="45" t="s">
        <v>76</v>
      </c>
      <c r="G142" s="51">
        <v>45</v>
      </c>
      <c r="H142" s="51">
        <v>48</v>
      </c>
      <c r="I142" s="51">
        <v>40</v>
      </c>
      <c r="J142" s="51">
        <v>34</v>
      </c>
      <c r="K142" s="51">
        <v>32</v>
      </c>
      <c r="L142" s="51">
        <v>10</v>
      </c>
      <c r="M142" s="51">
        <v>1</v>
      </c>
      <c r="N142" s="60"/>
    </row>
    <row r="143" spans="1:14" x14ac:dyDescent="0.25">
      <c r="A143" s="45">
        <v>849</v>
      </c>
      <c r="B143" s="45" t="s">
        <v>217</v>
      </c>
      <c r="C143" s="59">
        <v>42500</v>
      </c>
      <c r="D143" s="46" t="str">
        <f t="shared" si="4"/>
        <v>M</v>
      </c>
      <c r="E143" s="61">
        <f t="shared" si="5"/>
        <v>19</v>
      </c>
      <c r="F143" s="45" t="s">
        <v>76</v>
      </c>
      <c r="G143" s="51">
        <v>40</v>
      </c>
      <c r="H143" s="51">
        <v>2</v>
      </c>
      <c r="I143" s="51">
        <v>26</v>
      </c>
      <c r="J143" s="51">
        <v>27</v>
      </c>
      <c r="K143" s="51">
        <v>49</v>
      </c>
      <c r="L143" s="51">
        <v>10</v>
      </c>
      <c r="M143" s="51">
        <v>5</v>
      </c>
      <c r="N143" s="60"/>
    </row>
    <row r="144" spans="1:14" x14ac:dyDescent="0.25">
      <c r="A144" s="45">
        <v>850</v>
      </c>
      <c r="B144" s="45" t="s">
        <v>218</v>
      </c>
      <c r="C144" s="59">
        <v>42503</v>
      </c>
      <c r="D144" s="46" t="str">
        <f t="shared" si="4"/>
        <v>V</v>
      </c>
      <c r="E144" s="61">
        <f t="shared" si="5"/>
        <v>19</v>
      </c>
      <c r="F144" s="45" t="s">
        <v>76</v>
      </c>
      <c r="G144" s="51">
        <v>31</v>
      </c>
      <c r="H144" s="51">
        <v>28</v>
      </c>
      <c r="I144" s="51">
        <v>42</v>
      </c>
      <c r="J144" s="51">
        <v>15</v>
      </c>
      <c r="K144" s="51">
        <v>7</v>
      </c>
      <c r="L144" s="51">
        <v>10</v>
      </c>
      <c r="M144" s="51">
        <v>11</v>
      </c>
      <c r="N144" s="60"/>
    </row>
    <row r="145" spans="1:14" x14ac:dyDescent="0.25">
      <c r="A145" s="45">
        <v>851</v>
      </c>
      <c r="B145" s="45" t="s">
        <v>219</v>
      </c>
      <c r="C145" s="59">
        <v>42507</v>
      </c>
      <c r="D145" s="46" t="str">
        <f t="shared" si="4"/>
        <v>M</v>
      </c>
      <c r="E145" s="61">
        <f t="shared" si="5"/>
        <v>20</v>
      </c>
      <c r="F145" s="45" t="s">
        <v>76</v>
      </c>
      <c r="G145" s="51">
        <v>32</v>
      </c>
      <c r="H145" s="51">
        <v>27</v>
      </c>
      <c r="I145" s="51">
        <v>39</v>
      </c>
      <c r="J145" s="51">
        <v>36</v>
      </c>
      <c r="K145" s="51">
        <v>15</v>
      </c>
      <c r="L145" s="51">
        <v>3</v>
      </c>
      <c r="M145" s="51">
        <v>10</v>
      </c>
      <c r="N145" s="60"/>
    </row>
    <row r="146" spans="1:14" x14ac:dyDescent="0.25">
      <c r="A146" s="45">
        <v>852</v>
      </c>
      <c r="B146" s="45" t="s">
        <v>220</v>
      </c>
      <c r="C146" s="59">
        <v>42510</v>
      </c>
      <c r="D146" s="46" t="str">
        <f t="shared" si="4"/>
        <v>V</v>
      </c>
      <c r="E146" s="61">
        <f t="shared" si="5"/>
        <v>20</v>
      </c>
      <c r="F146" s="45" t="s">
        <v>76</v>
      </c>
      <c r="G146" s="51">
        <v>41</v>
      </c>
      <c r="H146" s="51">
        <v>9</v>
      </c>
      <c r="I146" s="51">
        <v>30</v>
      </c>
      <c r="J146" s="51">
        <v>14</v>
      </c>
      <c r="K146" s="51">
        <v>45</v>
      </c>
      <c r="L146" s="51">
        <v>4</v>
      </c>
      <c r="M146" s="51">
        <v>9</v>
      </c>
      <c r="N146" s="60"/>
    </row>
    <row r="147" spans="1:14" x14ac:dyDescent="0.25">
      <c r="A147" s="45">
        <v>853</v>
      </c>
      <c r="B147" s="45" t="s">
        <v>221</v>
      </c>
      <c r="C147" s="59">
        <v>42514</v>
      </c>
      <c r="D147" s="46" t="str">
        <f t="shared" si="4"/>
        <v>M</v>
      </c>
      <c r="E147" s="61">
        <f t="shared" si="5"/>
        <v>21</v>
      </c>
      <c r="F147" s="45" t="s">
        <v>76</v>
      </c>
      <c r="G147" s="51">
        <v>37</v>
      </c>
      <c r="H147" s="51">
        <v>17</v>
      </c>
      <c r="I147" s="51">
        <v>34</v>
      </c>
      <c r="J147" s="51">
        <v>16</v>
      </c>
      <c r="K147" s="51">
        <v>23</v>
      </c>
      <c r="L147" s="51">
        <v>9</v>
      </c>
      <c r="M147" s="51">
        <v>6</v>
      </c>
      <c r="N147" s="60"/>
    </row>
    <row r="148" spans="1:14" x14ac:dyDescent="0.25">
      <c r="A148" s="45">
        <v>854</v>
      </c>
      <c r="B148" s="45" t="s">
        <v>222</v>
      </c>
      <c r="C148" s="59">
        <v>42517</v>
      </c>
      <c r="D148" s="46" t="str">
        <f t="shared" si="4"/>
        <v>V</v>
      </c>
      <c r="E148" s="61">
        <f t="shared" si="5"/>
        <v>21</v>
      </c>
      <c r="F148" s="45" t="s">
        <v>76</v>
      </c>
      <c r="G148" s="51">
        <v>46</v>
      </c>
      <c r="H148" s="51">
        <v>27</v>
      </c>
      <c r="I148" s="51">
        <v>13</v>
      </c>
      <c r="J148" s="51">
        <v>43</v>
      </c>
      <c r="K148" s="51">
        <v>25</v>
      </c>
      <c r="L148" s="51">
        <v>4</v>
      </c>
      <c r="M148" s="51">
        <v>8</v>
      </c>
      <c r="N148" s="60"/>
    </row>
    <row r="149" spans="1:14" x14ac:dyDescent="0.25">
      <c r="A149" s="45">
        <v>855</v>
      </c>
      <c r="B149" s="45" t="s">
        <v>223</v>
      </c>
      <c r="C149" s="59">
        <v>42521</v>
      </c>
      <c r="D149" s="46" t="str">
        <f t="shared" si="4"/>
        <v>M</v>
      </c>
      <c r="E149" s="61">
        <f t="shared" si="5"/>
        <v>22</v>
      </c>
      <c r="F149" s="45" t="s">
        <v>76</v>
      </c>
      <c r="G149" s="51">
        <v>6</v>
      </c>
      <c r="H149" s="51">
        <v>30</v>
      </c>
      <c r="I149" s="51">
        <v>26</v>
      </c>
      <c r="J149" s="51">
        <v>48</v>
      </c>
      <c r="K149" s="51">
        <v>12</v>
      </c>
      <c r="L149" s="51">
        <v>6</v>
      </c>
      <c r="M149" s="51">
        <v>7</v>
      </c>
      <c r="N149" s="60"/>
    </row>
    <row r="150" spans="1:14" x14ac:dyDescent="0.25">
      <c r="A150" s="45">
        <v>856</v>
      </c>
      <c r="B150" s="45" t="s">
        <v>224</v>
      </c>
      <c r="C150" s="59">
        <v>42524</v>
      </c>
      <c r="D150" s="46" t="str">
        <f t="shared" si="4"/>
        <v>V</v>
      </c>
      <c r="E150" s="61">
        <f t="shared" si="5"/>
        <v>22</v>
      </c>
      <c r="F150" s="45" t="s">
        <v>76</v>
      </c>
      <c r="G150" s="51">
        <v>7</v>
      </c>
      <c r="H150" s="51">
        <v>31</v>
      </c>
      <c r="I150" s="51">
        <v>39</v>
      </c>
      <c r="J150" s="51">
        <v>23</v>
      </c>
      <c r="K150" s="51">
        <v>33</v>
      </c>
      <c r="L150" s="51">
        <v>6</v>
      </c>
      <c r="M150" s="51">
        <v>10</v>
      </c>
      <c r="N150" s="60"/>
    </row>
    <row r="151" spans="1:14" x14ac:dyDescent="0.25">
      <c r="A151" s="45">
        <v>857</v>
      </c>
      <c r="B151" s="45" t="s">
        <v>225</v>
      </c>
      <c r="C151" s="59">
        <v>42528</v>
      </c>
      <c r="D151" s="46" t="str">
        <f t="shared" si="4"/>
        <v>M</v>
      </c>
      <c r="E151" s="61">
        <f t="shared" si="5"/>
        <v>23</v>
      </c>
      <c r="F151" s="45" t="s">
        <v>76</v>
      </c>
      <c r="G151" s="51">
        <v>26</v>
      </c>
      <c r="H151" s="51">
        <v>49</v>
      </c>
      <c r="I151" s="51">
        <v>19</v>
      </c>
      <c r="J151" s="51">
        <v>45</v>
      </c>
      <c r="K151" s="51">
        <v>35</v>
      </c>
      <c r="L151" s="51">
        <v>2</v>
      </c>
      <c r="M151" s="51">
        <v>5</v>
      </c>
      <c r="N151" s="60"/>
    </row>
    <row r="152" spans="1:14" x14ac:dyDescent="0.25">
      <c r="A152" s="45">
        <v>858</v>
      </c>
      <c r="B152" s="45" t="s">
        <v>226</v>
      </c>
      <c r="C152" s="59">
        <v>42531</v>
      </c>
      <c r="D152" s="46" t="str">
        <f t="shared" si="4"/>
        <v>V</v>
      </c>
      <c r="E152" s="61">
        <f t="shared" si="5"/>
        <v>23</v>
      </c>
      <c r="F152" s="45" t="s">
        <v>76</v>
      </c>
      <c r="G152" s="51">
        <v>21</v>
      </c>
      <c r="H152" s="51">
        <v>35</v>
      </c>
      <c r="I152" s="51">
        <v>42</v>
      </c>
      <c r="J152" s="51">
        <v>14</v>
      </c>
      <c r="K152" s="51">
        <v>43</v>
      </c>
      <c r="L152" s="51">
        <v>7</v>
      </c>
      <c r="M152" s="51">
        <v>9</v>
      </c>
      <c r="N152" s="60"/>
    </row>
    <row r="153" spans="1:14" x14ac:dyDescent="0.25">
      <c r="A153" s="45">
        <v>859</v>
      </c>
      <c r="B153" s="45" t="s">
        <v>227</v>
      </c>
      <c r="C153" s="59">
        <v>42535</v>
      </c>
      <c r="D153" s="46" t="str">
        <f t="shared" si="4"/>
        <v>M</v>
      </c>
      <c r="E153" s="61">
        <f t="shared" si="5"/>
        <v>24</v>
      </c>
      <c r="F153" s="45" t="s">
        <v>76</v>
      </c>
      <c r="G153" s="51">
        <v>13</v>
      </c>
      <c r="H153" s="51">
        <v>50</v>
      </c>
      <c r="I153" s="51">
        <v>42</v>
      </c>
      <c r="J153" s="51">
        <v>39</v>
      </c>
      <c r="K153" s="51">
        <v>34</v>
      </c>
      <c r="L153" s="51">
        <v>11</v>
      </c>
      <c r="M153" s="51">
        <v>9</v>
      </c>
      <c r="N153" s="60"/>
    </row>
    <row r="154" spans="1:14" x14ac:dyDescent="0.25">
      <c r="A154" s="45">
        <v>860</v>
      </c>
      <c r="B154" s="45" t="s">
        <v>228</v>
      </c>
      <c r="C154" s="59">
        <v>42538</v>
      </c>
      <c r="D154" s="46" t="str">
        <f t="shared" si="4"/>
        <v>V</v>
      </c>
      <c r="E154" s="61">
        <f t="shared" si="5"/>
        <v>24</v>
      </c>
      <c r="F154" s="45" t="s">
        <v>76</v>
      </c>
      <c r="G154" s="51">
        <v>43</v>
      </c>
      <c r="H154" s="51">
        <v>1</v>
      </c>
      <c r="I154" s="51">
        <v>18</v>
      </c>
      <c r="J154" s="51">
        <v>27</v>
      </c>
      <c r="K154" s="51">
        <v>7</v>
      </c>
      <c r="L154" s="51">
        <v>8</v>
      </c>
      <c r="M154" s="51">
        <v>4</v>
      </c>
      <c r="N154" s="60"/>
    </row>
    <row r="155" spans="1:14" x14ac:dyDescent="0.25">
      <c r="A155" s="45">
        <v>861</v>
      </c>
      <c r="B155" s="45" t="s">
        <v>229</v>
      </c>
      <c r="C155" s="59">
        <v>42542</v>
      </c>
      <c r="D155" s="46" t="str">
        <f t="shared" si="4"/>
        <v>M</v>
      </c>
      <c r="E155" s="61">
        <f t="shared" si="5"/>
        <v>25</v>
      </c>
      <c r="F155" s="45" t="s">
        <v>76</v>
      </c>
      <c r="G155" s="51">
        <v>32</v>
      </c>
      <c r="H155" s="51">
        <v>35</v>
      </c>
      <c r="I155" s="51">
        <v>17</v>
      </c>
      <c r="J155" s="51">
        <v>49</v>
      </c>
      <c r="K155" s="51">
        <v>5</v>
      </c>
      <c r="L155" s="51">
        <v>5</v>
      </c>
      <c r="M155" s="51">
        <v>1</v>
      </c>
      <c r="N155" s="60"/>
    </row>
    <row r="156" spans="1:14" x14ac:dyDescent="0.25">
      <c r="A156" s="45">
        <v>862</v>
      </c>
      <c r="B156" s="45" t="s">
        <v>230</v>
      </c>
      <c r="C156" s="59">
        <v>42545</v>
      </c>
      <c r="D156" s="46" t="str">
        <f t="shared" si="4"/>
        <v>V</v>
      </c>
      <c r="E156" s="61">
        <f t="shared" si="5"/>
        <v>25</v>
      </c>
      <c r="F156" s="45" t="s">
        <v>76</v>
      </c>
      <c r="G156" s="51">
        <v>11</v>
      </c>
      <c r="H156" s="51">
        <v>19</v>
      </c>
      <c r="I156" s="51">
        <v>39</v>
      </c>
      <c r="J156" s="51">
        <v>28</v>
      </c>
      <c r="K156" s="51">
        <v>27</v>
      </c>
      <c r="L156" s="51">
        <v>3</v>
      </c>
      <c r="M156" s="51">
        <v>10</v>
      </c>
      <c r="N156" s="60"/>
    </row>
    <row r="157" spans="1:14" x14ac:dyDescent="0.25">
      <c r="A157" s="45">
        <v>863</v>
      </c>
      <c r="B157" s="45" t="s">
        <v>231</v>
      </c>
      <c r="C157" s="59">
        <v>42549</v>
      </c>
      <c r="D157" s="46" t="str">
        <f t="shared" si="4"/>
        <v>M</v>
      </c>
      <c r="E157" s="61">
        <f t="shared" si="5"/>
        <v>26</v>
      </c>
      <c r="F157" s="45" t="s">
        <v>76</v>
      </c>
      <c r="G157" s="51">
        <v>43</v>
      </c>
      <c r="H157" s="51">
        <v>37</v>
      </c>
      <c r="I157" s="51">
        <v>32</v>
      </c>
      <c r="J157" s="51">
        <v>26</v>
      </c>
      <c r="K157" s="51">
        <v>49</v>
      </c>
      <c r="L157" s="51">
        <v>5</v>
      </c>
      <c r="M157" s="51">
        <v>4</v>
      </c>
      <c r="N157" s="60"/>
    </row>
    <row r="158" spans="1:14" x14ac:dyDescent="0.25">
      <c r="A158" s="45">
        <v>864</v>
      </c>
      <c r="B158" s="45" t="s">
        <v>232</v>
      </c>
      <c r="C158" s="59">
        <v>42552</v>
      </c>
      <c r="D158" s="46" t="str">
        <f t="shared" si="4"/>
        <v>V</v>
      </c>
      <c r="E158" s="61">
        <f t="shared" si="5"/>
        <v>26</v>
      </c>
      <c r="F158" s="45" t="s">
        <v>76</v>
      </c>
      <c r="G158" s="51">
        <v>11</v>
      </c>
      <c r="H158" s="51">
        <v>50</v>
      </c>
      <c r="I158" s="51">
        <v>13</v>
      </c>
      <c r="J158" s="51">
        <v>40</v>
      </c>
      <c r="K158" s="51">
        <v>2</v>
      </c>
      <c r="L158" s="51">
        <v>10</v>
      </c>
      <c r="M158" s="51">
        <v>1</v>
      </c>
      <c r="N158" s="60"/>
    </row>
    <row r="159" spans="1:14" x14ac:dyDescent="0.25">
      <c r="A159" s="45">
        <v>865</v>
      </c>
      <c r="B159" s="45" t="s">
        <v>233</v>
      </c>
      <c r="C159" s="59">
        <v>42556</v>
      </c>
      <c r="D159" s="46" t="str">
        <f t="shared" si="4"/>
        <v>M</v>
      </c>
      <c r="E159" s="61">
        <f t="shared" si="5"/>
        <v>27</v>
      </c>
      <c r="F159" s="45" t="s">
        <v>76</v>
      </c>
      <c r="G159" s="51">
        <v>38</v>
      </c>
      <c r="H159" s="51">
        <v>29</v>
      </c>
      <c r="I159" s="51">
        <v>10</v>
      </c>
      <c r="J159" s="51">
        <v>48</v>
      </c>
      <c r="K159" s="51">
        <v>1</v>
      </c>
      <c r="L159" s="51">
        <v>4</v>
      </c>
      <c r="M159" s="51">
        <v>3</v>
      </c>
      <c r="N159" s="60"/>
    </row>
    <row r="160" spans="1:14" x14ac:dyDescent="0.25">
      <c r="A160" s="45">
        <v>866</v>
      </c>
      <c r="B160" s="45" t="s">
        <v>234</v>
      </c>
      <c r="C160" s="59">
        <v>42559</v>
      </c>
      <c r="D160" s="46" t="str">
        <f t="shared" si="4"/>
        <v>V</v>
      </c>
      <c r="E160" s="61">
        <f t="shared" si="5"/>
        <v>27</v>
      </c>
      <c r="F160" s="45" t="s">
        <v>76</v>
      </c>
      <c r="G160" s="51">
        <v>12</v>
      </c>
      <c r="H160" s="51">
        <v>18</v>
      </c>
      <c r="I160" s="51">
        <v>8</v>
      </c>
      <c r="J160" s="51">
        <v>44</v>
      </c>
      <c r="K160" s="51">
        <v>33</v>
      </c>
      <c r="L160" s="51">
        <v>8</v>
      </c>
      <c r="M160" s="51">
        <v>4</v>
      </c>
      <c r="N160" s="60"/>
    </row>
    <row r="161" spans="1:14" x14ac:dyDescent="0.25">
      <c r="A161" s="45">
        <v>867</v>
      </c>
      <c r="B161" s="45" t="s">
        <v>235</v>
      </c>
      <c r="C161" s="59">
        <v>42563</v>
      </c>
      <c r="D161" s="46" t="str">
        <f t="shared" si="4"/>
        <v>M</v>
      </c>
      <c r="E161" s="61">
        <f t="shared" si="5"/>
        <v>28</v>
      </c>
      <c r="F161" s="45" t="s">
        <v>76</v>
      </c>
      <c r="G161" s="51">
        <v>26</v>
      </c>
      <c r="H161" s="51">
        <v>3</v>
      </c>
      <c r="I161" s="51">
        <v>41</v>
      </c>
      <c r="J161" s="51">
        <v>33</v>
      </c>
      <c r="K161" s="51">
        <v>7</v>
      </c>
      <c r="L161" s="51">
        <v>2</v>
      </c>
      <c r="M161" s="51">
        <v>10</v>
      </c>
      <c r="N161" s="60"/>
    </row>
    <row r="162" spans="1:14" x14ac:dyDescent="0.25">
      <c r="A162" s="45">
        <v>868</v>
      </c>
      <c r="B162" s="45" t="s">
        <v>236</v>
      </c>
      <c r="C162" s="59">
        <v>42566</v>
      </c>
      <c r="D162" s="46" t="str">
        <f t="shared" si="4"/>
        <v>V</v>
      </c>
      <c r="E162" s="61">
        <f t="shared" si="5"/>
        <v>28</v>
      </c>
      <c r="F162" s="45" t="s">
        <v>76</v>
      </c>
      <c r="G162" s="51">
        <v>2</v>
      </c>
      <c r="H162" s="51">
        <v>11</v>
      </c>
      <c r="I162" s="51">
        <v>14</v>
      </c>
      <c r="J162" s="51">
        <v>13</v>
      </c>
      <c r="K162" s="51">
        <v>21</v>
      </c>
      <c r="L162" s="51">
        <v>1</v>
      </c>
      <c r="M162" s="51">
        <v>8</v>
      </c>
      <c r="N162" s="60"/>
    </row>
    <row r="163" spans="1:14" x14ac:dyDescent="0.25">
      <c r="A163" s="45">
        <v>869</v>
      </c>
      <c r="B163" s="45" t="s">
        <v>237</v>
      </c>
      <c r="C163" s="59">
        <v>42570</v>
      </c>
      <c r="D163" s="46" t="str">
        <f t="shared" si="4"/>
        <v>M</v>
      </c>
      <c r="E163" s="61">
        <f t="shared" si="5"/>
        <v>29</v>
      </c>
      <c r="F163" s="45" t="s">
        <v>76</v>
      </c>
      <c r="G163" s="51">
        <v>24</v>
      </c>
      <c r="H163" s="51">
        <v>37</v>
      </c>
      <c r="I163" s="51">
        <v>19</v>
      </c>
      <c r="J163" s="51">
        <v>28</v>
      </c>
      <c r="K163" s="51">
        <v>36</v>
      </c>
      <c r="L163" s="51">
        <v>6</v>
      </c>
      <c r="M163" s="51">
        <v>3</v>
      </c>
      <c r="N163" s="60"/>
    </row>
    <row r="164" spans="1:14" x14ac:dyDescent="0.25">
      <c r="A164" s="45">
        <v>870</v>
      </c>
      <c r="B164" s="45" t="s">
        <v>238</v>
      </c>
      <c r="C164" s="59">
        <v>42573</v>
      </c>
      <c r="D164" s="46" t="str">
        <f t="shared" si="4"/>
        <v>V</v>
      </c>
      <c r="E164" s="61">
        <f t="shared" si="5"/>
        <v>29</v>
      </c>
      <c r="F164" s="45" t="s">
        <v>76</v>
      </c>
      <c r="G164" s="51">
        <v>26</v>
      </c>
      <c r="H164" s="51">
        <v>45</v>
      </c>
      <c r="I164" s="51">
        <v>24</v>
      </c>
      <c r="J164" s="51">
        <v>7</v>
      </c>
      <c r="K164" s="51">
        <v>37</v>
      </c>
      <c r="L164" s="51">
        <v>9</v>
      </c>
      <c r="M164" s="51">
        <v>5</v>
      </c>
      <c r="N164" s="60"/>
    </row>
    <row r="165" spans="1:14" x14ac:dyDescent="0.25">
      <c r="A165" s="45">
        <v>871</v>
      </c>
      <c r="B165" s="45" t="s">
        <v>239</v>
      </c>
      <c r="C165" s="59">
        <v>42577</v>
      </c>
      <c r="D165" s="46" t="str">
        <f t="shared" si="4"/>
        <v>M</v>
      </c>
      <c r="E165" s="61">
        <f t="shared" si="5"/>
        <v>30</v>
      </c>
      <c r="F165" s="45" t="s">
        <v>76</v>
      </c>
      <c r="G165" s="51">
        <v>13</v>
      </c>
      <c r="H165" s="51">
        <v>49</v>
      </c>
      <c r="I165" s="51">
        <v>10</v>
      </c>
      <c r="J165" s="51">
        <v>45</v>
      </c>
      <c r="K165" s="51">
        <v>3</v>
      </c>
      <c r="L165" s="51">
        <v>11</v>
      </c>
      <c r="M165" s="51">
        <v>2</v>
      </c>
      <c r="N165" s="60"/>
    </row>
    <row r="166" spans="1:14" x14ac:dyDescent="0.25">
      <c r="A166" s="45">
        <v>872</v>
      </c>
      <c r="B166" s="45" t="s">
        <v>240</v>
      </c>
      <c r="C166" s="59">
        <v>42580</v>
      </c>
      <c r="D166" s="46" t="str">
        <f t="shared" si="4"/>
        <v>V</v>
      </c>
      <c r="E166" s="61">
        <f t="shared" si="5"/>
        <v>30</v>
      </c>
      <c r="F166" s="45" t="s">
        <v>76</v>
      </c>
      <c r="G166" s="51">
        <v>40</v>
      </c>
      <c r="H166" s="51">
        <v>26</v>
      </c>
      <c r="I166" s="51">
        <v>50</v>
      </c>
      <c r="J166" s="51">
        <v>1</v>
      </c>
      <c r="K166" s="51">
        <v>21</v>
      </c>
      <c r="L166" s="51">
        <v>4</v>
      </c>
      <c r="M166" s="51">
        <v>2</v>
      </c>
      <c r="N166" s="60"/>
    </row>
    <row r="167" spans="1:14" x14ac:dyDescent="0.25">
      <c r="A167" s="45">
        <v>873</v>
      </c>
      <c r="B167" s="45" t="s">
        <v>241</v>
      </c>
      <c r="C167" s="59">
        <v>42584</v>
      </c>
      <c r="D167" s="46" t="str">
        <f t="shared" si="4"/>
        <v>M</v>
      </c>
      <c r="E167" s="61">
        <f t="shared" si="5"/>
        <v>31</v>
      </c>
      <c r="F167" s="45" t="s">
        <v>76</v>
      </c>
      <c r="G167" s="51">
        <v>27</v>
      </c>
      <c r="H167" s="51">
        <v>46</v>
      </c>
      <c r="I167" s="51">
        <v>38</v>
      </c>
      <c r="J167" s="51">
        <v>2</v>
      </c>
      <c r="K167" s="51">
        <v>8</v>
      </c>
      <c r="L167" s="51">
        <v>2</v>
      </c>
      <c r="M167" s="51">
        <v>6</v>
      </c>
      <c r="N167" s="60"/>
    </row>
    <row r="168" spans="1:14" x14ac:dyDescent="0.25">
      <c r="A168" s="45">
        <v>874</v>
      </c>
      <c r="B168" s="45" t="s">
        <v>242</v>
      </c>
      <c r="C168" s="59">
        <v>42587</v>
      </c>
      <c r="D168" s="46" t="str">
        <f t="shared" si="4"/>
        <v>V</v>
      </c>
      <c r="E168" s="61">
        <f t="shared" si="5"/>
        <v>31</v>
      </c>
      <c r="F168" s="45" t="s">
        <v>76</v>
      </c>
      <c r="G168" s="51">
        <v>19</v>
      </c>
      <c r="H168" s="51">
        <v>16</v>
      </c>
      <c r="I168" s="51">
        <v>24</v>
      </c>
      <c r="J168" s="51">
        <v>37</v>
      </c>
      <c r="K168" s="51">
        <v>35</v>
      </c>
      <c r="L168" s="51">
        <v>2</v>
      </c>
      <c r="M168" s="51">
        <v>7</v>
      </c>
      <c r="N168" s="60"/>
    </row>
    <row r="169" spans="1:14" x14ac:dyDescent="0.25">
      <c r="A169" s="45">
        <v>875</v>
      </c>
      <c r="B169" s="45" t="s">
        <v>243</v>
      </c>
      <c r="C169" s="59">
        <v>42591</v>
      </c>
      <c r="D169" s="46" t="str">
        <f t="shared" si="4"/>
        <v>M</v>
      </c>
      <c r="E169" s="61">
        <f t="shared" si="5"/>
        <v>32</v>
      </c>
      <c r="F169" s="45" t="s">
        <v>76</v>
      </c>
      <c r="G169" s="51">
        <v>19</v>
      </c>
      <c r="H169" s="51">
        <v>43</v>
      </c>
      <c r="I169" s="51">
        <v>44</v>
      </c>
      <c r="J169" s="51">
        <v>12</v>
      </c>
      <c r="K169" s="51">
        <v>45</v>
      </c>
      <c r="L169" s="51">
        <v>10</v>
      </c>
      <c r="M169" s="51">
        <v>5</v>
      </c>
      <c r="N169" s="60"/>
    </row>
    <row r="170" spans="1:14" x14ac:dyDescent="0.25">
      <c r="A170" s="45">
        <v>876</v>
      </c>
      <c r="B170" s="45" t="s">
        <v>244</v>
      </c>
      <c r="C170" s="59">
        <v>42594</v>
      </c>
      <c r="D170" s="46" t="str">
        <f t="shared" si="4"/>
        <v>V</v>
      </c>
      <c r="E170" s="61">
        <f t="shared" si="5"/>
        <v>32</v>
      </c>
      <c r="F170" s="45" t="s">
        <v>76</v>
      </c>
      <c r="G170" s="51">
        <v>15</v>
      </c>
      <c r="H170" s="51">
        <v>50</v>
      </c>
      <c r="I170" s="51">
        <v>36</v>
      </c>
      <c r="J170" s="51">
        <v>2</v>
      </c>
      <c r="K170" s="51">
        <v>28</v>
      </c>
      <c r="L170" s="51">
        <v>11</v>
      </c>
      <c r="M170" s="51">
        <v>2</v>
      </c>
      <c r="N170" s="60"/>
    </row>
    <row r="171" spans="1:14" x14ac:dyDescent="0.25">
      <c r="A171" s="45">
        <v>877</v>
      </c>
      <c r="B171" s="45" t="s">
        <v>245</v>
      </c>
      <c r="C171" s="59">
        <v>42598</v>
      </c>
      <c r="D171" s="46" t="str">
        <f t="shared" si="4"/>
        <v>M</v>
      </c>
      <c r="E171" s="61">
        <f t="shared" si="5"/>
        <v>33</v>
      </c>
      <c r="F171" s="45" t="s">
        <v>76</v>
      </c>
      <c r="G171" s="51">
        <v>34</v>
      </c>
      <c r="H171" s="51">
        <v>37</v>
      </c>
      <c r="I171" s="51">
        <v>46</v>
      </c>
      <c r="J171" s="51">
        <v>26</v>
      </c>
      <c r="K171" s="51">
        <v>2</v>
      </c>
      <c r="L171" s="51">
        <v>4</v>
      </c>
      <c r="M171" s="51">
        <v>8</v>
      </c>
      <c r="N171" s="60"/>
    </row>
    <row r="172" spans="1:14" x14ac:dyDescent="0.25">
      <c r="A172" s="45">
        <v>878</v>
      </c>
      <c r="B172" s="45" t="s">
        <v>246</v>
      </c>
      <c r="C172" s="59">
        <v>42601</v>
      </c>
      <c r="D172" s="46" t="str">
        <f t="shared" si="4"/>
        <v>V</v>
      </c>
      <c r="E172" s="61">
        <f t="shared" si="5"/>
        <v>33</v>
      </c>
      <c r="F172" s="45" t="s">
        <v>76</v>
      </c>
      <c r="G172" s="51">
        <v>22</v>
      </c>
      <c r="H172" s="51">
        <v>6</v>
      </c>
      <c r="I172" s="51">
        <v>5</v>
      </c>
      <c r="J172" s="51">
        <v>25</v>
      </c>
      <c r="K172" s="51">
        <v>34</v>
      </c>
      <c r="L172" s="51">
        <v>7</v>
      </c>
      <c r="M172" s="51">
        <v>5</v>
      </c>
      <c r="N172" s="60"/>
    </row>
    <row r="173" spans="1:14" x14ac:dyDescent="0.25">
      <c r="A173" s="45">
        <v>879</v>
      </c>
      <c r="B173" s="45" t="s">
        <v>247</v>
      </c>
      <c r="C173" s="59">
        <v>42605</v>
      </c>
      <c r="D173" s="46" t="str">
        <f t="shared" si="4"/>
        <v>M</v>
      </c>
      <c r="E173" s="61">
        <f t="shared" si="5"/>
        <v>34</v>
      </c>
      <c r="F173" s="45" t="s">
        <v>76</v>
      </c>
      <c r="G173" s="51">
        <v>2</v>
      </c>
      <c r="H173" s="51">
        <v>31</v>
      </c>
      <c r="I173" s="51">
        <v>45</v>
      </c>
      <c r="J173" s="51">
        <v>37</v>
      </c>
      <c r="K173" s="51">
        <v>23</v>
      </c>
      <c r="L173" s="51">
        <v>8</v>
      </c>
      <c r="M173" s="51">
        <v>4</v>
      </c>
      <c r="N173" s="60"/>
    </row>
    <row r="174" spans="1:14" x14ac:dyDescent="0.25">
      <c r="A174" s="45">
        <v>880</v>
      </c>
      <c r="B174" s="45" t="s">
        <v>248</v>
      </c>
      <c r="C174" s="59">
        <v>42608</v>
      </c>
      <c r="D174" s="46" t="str">
        <f t="shared" si="4"/>
        <v>V</v>
      </c>
      <c r="E174" s="61">
        <f t="shared" si="5"/>
        <v>34</v>
      </c>
      <c r="F174" s="45" t="s">
        <v>76</v>
      </c>
      <c r="G174" s="51">
        <v>48</v>
      </c>
      <c r="H174" s="51">
        <v>9</v>
      </c>
      <c r="I174" s="51">
        <v>30</v>
      </c>
      <c r="J174" s="51">
        <v>28</v>
      </c>
      <c r="K174" s="51">
        <v>1</v>
      </c>
      <c r="L174" s="51">
        <v>7</v>
      </c>
      <c r="M174" s="51">
        <v>8</v>
      </c>
      <c r="N174" s="60"/>
    </row>
    <row r="175" spans="1:14" x14ac:dyDescent="0.25">
      <c r="A175" s="45">
        <v>881</v>
      </c>
      <c r="B175" s="45" t="s">
        <v>249</v>
      </c>
      <c r="C175" s="59">
        <v>42612</v>
      </c>
      <c r="D175" s="46" t="str">
        <f t="shared" si="4"/>
        <v>M</v>
      </c>
      <c r="E175" s="61">
        <f t="shared" si="5"/>
        <v>35</v>
      </c>
      <c r="F175" s="45" t="s">
        <v>76</v>
      </c>
      <c r="G175" s="51">
        <v>29</v>
      </c>
      <c r="H175" s="51">
        <v>42</v>
      </c>
      <c r="I175" s="51">
        <v>13</v>
      </c>
      <c r="J175" s="51">
        <v>16</v>
      </c>
      <c r="K175" s="51">
        <v>35</v>
      </c>
      <c r="L175" s="51">
        <v>6</v>
      </c>
      <c r="M175" s="51">
        <v>8</v>
      </c>
      <c r="N175" s="60"/>
    </row>
    <row r="176" spans="1:14" x14ac:dyDescent="0.25">
      <c r="A176" s="45">
        <v>882</v>
      </c>
      <c r="B176" s="45" t="s">
        <v>250</v>
      </c>
      <c r="C176" s="59">
        <v>42615</v>
      </c>
      <c r="D176" s="46" t="str">
        <f t="shared" si="4"/>
        <v>V</v>
      </c>
      <c r="E176" s="61">
        <f t="shared" si="5"/>
        <v>35</v>
      </c>
      <c r="F176" s="45" t="s">
        <v>76</v>
      </c>
      <c r="G176" s="51">
        <v>50</v>
      </c>
      <c r="H176" s="51">
        <v>40</v>
      </c>
      <c r="I176" s="51">
        <v>16</v>
      </c>
      <c r="J176" s="51">
        <v>32</v>
      </c>
      <c r="K176" s="51">
        <v>8</v>
      </c>
      <c r="L176" s="51">
        <v>2</v>
      </c>
      <c r="M176" s="51">
        <v>11</v>
      </c>
      <c r="N176" s="60"/>
    </row>
    <row r="177" spans="1:14" x14ac:dyDescent="0.25">
      <c r="A177" s="45">
        <v>883</v>
      </c>
      <c r="B177" s="45" t="s">
        <v>251</v>
      </c>
      <c r="C177" s="59">
        <v>42619</v>
      </c>
      <c r="D177" s="46" t="str">
        <f t="shared" si="4"/>
        <v>M</v>
      </c>
      <c r="E177" s="61">
        <f t="shared" si="5"/>
        <v>36</v>
      </c>
      <c r="F177" s="45" t="s">
        <v>76</v>
      </c>
      <c r="G177" s="51">
        <v>45</v>
      </c>
      <c r="H177" s="51">
        <v>12</v>
      </c>
      <c r="I177" s="51">
        <v>34</v>
      </c>
      <c r="J177" s="51">
        <v>24</v>
      </c>
      <c r="K177" s="51">
        <v>30</v>
      </c>
      <c r="L177" s="51">
        <v>7</v>
      </c>
      <c r="M177" s="51">
        <v>10</v>
      </c>
      <c r="N177" s="60"/>
    </row>
    <row r="178" spans="1:14" x14ac:dyDescent="0.25">
      <c r="A178" s="45">
        <v>884</v>
      </c>
      <c r="B178" s="45" t="s">
        <v>252</v>
      </c>
      <c r="C178" s="59">
        <v>42622</v>
      </c>
      <c r="D178" s="46" t="str">
        <f t="shared" si="4"/>
        <v>V</v>
      </c>
      <c r="E178" s="61">
        <f t="shared" si="5"/>
        <v>36</v>
      </c>
      <c r="F178" s="45" t="s">
        <v>76</v>
      </c>
      <c r="G178" s="51">
        <v>28</v>
      </c>
      <c r="H178" s="51">
        <v>4</v>
      </c>
      <c r="I178" s="51">
        <v>11</v>
      </c>
      <c r="J178" s="51">
        <v>17</v>
      </c>
      <c r="K178" s="51">
        <v>15</v>
      </c>
      <c r="L178" s="51">
        <v>1</v>
      </c>
      <c r="M178" s="51">
        <v>3</v>
      </c>
      <c r="N178" s="60"/>
    </row>
    <row r="179" spans="1:14" x14ac:dyDescent="0.25">
      <c r="A179" s="45">
        <v>885</v>
      </c>
      <c r="B179" s="45" t="s">
        <v>253</v>
      </c>
      <c r="C179" s="59">
        <v>42626</v>
      </c>
      <c r="D179" s="46" t="str">
        <f t="shared" si="4"/>
        <v>M</v>
      </c>
      <c r="E179" s="61">
        <f t="shared" si="5"/>
        <v>37</v>
      </c>
      <c r="F179" s="45" t="s">
        <v>76</v>
      </c>
      <c r="G179" s="51">
        <v>44</v>
      </c>
      <c r="H179" s="51">
        <v>16</v>
      </c>
      <c r="I179" s="51">
        <v>4</v>
      </c>
      <c r="J179" s="51">
        <v>7</v>
      </c>
      <c r="K179" s="51">
        <v>35</v>
      </c>
      <c r="L179" s="51">
        <v>3</v>
      </c>
      <c r="M179" s="51">
        <v>1</v>
      </c>
      <c r="N179" s="60"/>
    </row>
    <row r="180" spans="1:14" x14ac:dyDescent="0.25">
      <c r="A180" s="45">
        <v>886</v>
      </c>
      <c r="B180" s="45" t="s">
        <v>254</v>
      </c>
      <c r="C180" s="59">
        <v>42629</v>
      </c>
      <c r="D180" s="46" t="str">
        <f t="shared" si="4"/>
        <v>V</v>
      </c>
      <c r="E180" s="61">
        <f t="shared" si="5"/>
        <v>37</v>
      </c>
      <c r="F180" s="45" t="s">
        <v>76</v>
      </c>
      <c r="G180" s="51">
        <v>32</v>
      </c>
      <c r="H180" s="51">
        <v>5</v>
      </c>
      <c r="I180" s="51">
        <v>22</v>
      </c>
      <c r="J180" s="51">
        <v>8</v>
      </c>
      <c r="K180" s="51">
        <v>14</v>
      </c>
      <c r="L180" s="51">
        <v>2</v>
      </c>
      <c r="M180" s="51">
        <v>11</v>
      </c>
      <c r="N180" s="60"/>
    </row>
    <row r="181" spans="1:14" x14ac:dyDescent="0.25">
      <c r="A181" s="45">
        <v>887</v>
      </c>
      <c r="B181" s="45" t="s">
        <v>255</v>
      </c>
      <c r="C181" s="59">
        <v>42633</v>
      </c>
      <c r="D181" s="46" t="str">
        <f t="shared" si="4"/>
        <v>M</v>
      </c>
      <c r="E181" s="61">
        <f t="shared" si="5"/>
        <v>38</v>
      </c>
      <c r="F181" s="45" t="s">
        <v>76</v>
      </c>
      <c r="G181" s="51">
        <v>45</v>
      </c>
      <c r="H181" s="51">
        <v>41</v>
      </c>
      <c r="I181" s="51">
        <v>4</v>
      </c>
      <c r="J181" s="51">
        <v>1</v>
      </c>
      <c r="K181" s="51">
        <v>10</v>
      </c>
      <c r="L181" s="51">
        <v>9</v>
      </c>
      <c r="M181" s="51">
        <v>6</v>
      </c>
      <c r="N181" s="60"/>
    </row>
    <row r="182" spans="1:14" x14ac:dyDescent="0.25">
      <c r="A182" s="45">
        <v>888</v>
      </c>
      <c r="B182" s="45" t="s">
        <v>256</v>
      </c>
      <c r="C182" s="59">
        <v>42636</v>
      </c>
      <c r="D182" s="46" t="str">
        <f t="shared" si="4"/>
        <v>V</v>
      </c>
      <c r="E182" s="61">
        <f t="shared" si="5"/>
        <v>38</v>
      </c>
      <c r="F182" s="45" t="s">
        <v>76</v>
      </c>
      <c r="G182" s="51">
        <v>14</v>
      </c>
      <c r="H182" s="51">
        <v>39</v>
      </c>
      <c r="I182" s="51">
        <v>42</v>
      </c>
      <c r="J182" s="51">
        <v>49</v>
      </c>
      <c r="K182" s="51">
        <v>16</v>
      </c>
      <c r="L182" s="51">
        <v>9</v>
      </c>
      <c r="M182" s="51">
        <v>3</v>
      </c>
      <c r="N182" s="60"/>
    </row>
    <row r="183" spans="1:14" x14ac:dyDescent="0.25">
      <c r="A183" s="45">
        <v>889</v>
      </c>
      <c r="B183" s="45" t="s">
        <v>257</v>
      </c>
      <c r="C183" s="59">
        <v>42640</v>
      </c>
      <c r="D183" s="46" t="str">
        <f t="shared" si="4"/>
        <v>M</v>
      </c>
      <c r="E183" s="61">
        <f t="shared" si="5"/>
        <v>39</v>
      </c>
      <c r="F183" s="45" t="s">
        <v>76</v>
      </c>
      <c r="G183" s="51">
        <v>41</v>
      </c>
      <c r="H183" s="51">
        <v>6</v>
      </c>
      <c r="I183" s="51">
        <v>13</v>
      </c>
      <c r="J183" s="51">
        <v>39</v>
      </c>
      <c r="K183" s="51">
        <v>9</v>
      </c>
      <c r="L183" s="51">
        <v>2</v>
      </c>
      <c r="M183" s="51">
        <v>12</v>
      </c>
      <c r="N183" s="60"/>
    </row>
    <row r="184" spans="1:14" x14ac:dyDescent="0.25">
      <c r="A184" s="45">
        <v>890</v>
      </c>
      <c r="B184" s="45" t="s">
        <v>258</v>
      </c>
      <c r="C184" s="59">
        <v>42643</v>
      </c>
      <c r="D184" s="46" t="str">
        <f t="shared" si="4"/>
        <v>V</v>
      </c>
      <c r="E184" s="61">
        <f t="shared" si="5"/>
        <v>39</v>
      </c>
      <c r="F184" s="45" t="s">
        <v>76</v>
      </c>
      <c r="G184" s="51">
        <v>35</v>
      </c>
      <c r="H184" s="51">
        <v>44</v>
      </c>
      <c r="I184" s="51">
        <v>17</v>
      </c>
      <c r="J184" s="51">
        <v>37</v>
      </c>
      <c r="K184" s="51">
        <v>43</v>
      </c>
      <c r="L184" s="51">
        <v>10</v>
      </c>
      <c r="M184" s="51">
        <v>2</v>
      </c>
      <c r="N184" s="60" t="s">
        <v>259</v>
      </c>
    </row>
    <row r="185" spans="1:14" x14ac:dyDescent="0.25">
      <c r="A185" s="45">
        <v>891</v>
      </c>
      <c r="B185" s="45" t="s">
        <v>260</v>
      </c>
      <c r="C185" s="59">
        <v>42647</v>
      </c>
      <c r="D185" s="46" t="str">
        <f t="shared" si="4"/>
        <v>M</v>
      </c>
      <c r="E185" s="61">
        <f t="shared" si="5"/>
        <v>40</v>
      </c>
      <c r="F185" s="45" t="s">
        <v>76</v>
      </c>
      <c r="G185" s="51">
        <v>4</v>
      </c>
      <c r="H185" s="51">
        <v>38</v>
      </c>
      <c r="I185" s="51">
        <v>7</v>
      </c>
      <c r="J185" s="51">
        <v>14</v>
      </c>
      <c r="K185" s="51">
        <v>34</v>
      </c>
      <c r="L185" s="51">
        <v>4</v>
      </c>
      <c r="M185" s="51">
        <v>11</v>
      </c>
      <c r="N185" s="60"/>
    </row>
    <row r="186" spans="1:14" x14ac:dyDescent="0.25">
      <c r="A186" s="45">
        <v>892</v>
      </c>
      <c r="B186" s="45" t="s">
        <v>261</v>
      </c>
      <c r="C186" s="59">
        <v>42650</v>
      </c>
      <c r="D186" s="46" t="str">
        <f t="shared" si="4"/>
        <v>V</v>
      </c>
      <c r="E186" s="61">
        <f t="shared" si="5"/>
        <v>40</v>
      </c>
      <c r="F186" s="45" t="s">
        <v>76</v>
      </c>
      <c r="G186" s="51">
        <v>12</v>
      </c>
      <c r="H186" s="51">
        <v>30</v>
      </c>
      <c r="I186" s="51">
        <v>27</v>
      </c>
      <c r="J186" s="51">
        <v>20</v>
      </c>
      <c r="K186" s="51">
        <v>2</v>
      </c>
      <c r="L186" s="51">
        <v>11</v>
      </c>
      <c r="M186" s="51">
        <v>9</v>
      </c>
      <c r="N186" s="60" t="s">
        <v>262</v>
      </c>
    </row>
    <row r="187" spans="1:14" x14ac:dyDescent="0.25">
      <c r="A187" s="45">
        <v>893</v>
      </c>
      <c r="B187" s="45" t="s">
        <v>263</v>
      </c>
      <c r="C187" s="59">
        <v>42654</v>
      </c>
      <c r="D187" s="46" t="str">
        <f t="shared" si="4"/>
        <v>M</v>
      </c>
      <c r="E187" s="61">
        <f t="shared" si="5"/>
        <v>41</v>
      </c>
      <c r="F187" s="45" t="s">
        <v>76</v>
      </c>
      <c r="G187" s="51">
        <v>12</v>
      </c>
      <c r="H187" s="51">
        <v>37</v>
      </c>
      <c r="I187" s="51">
        <v>20</v>
      </c>
      <c r="J187" s="51">
        <v>24</v>
      </c>
      <c r="K187" s="51">
        <v>5</v>
      </c>
      <c r="L187" s="51">
        <v>4</v>
      </c>
      <c r="M187" s="51">
        <v>11</v>
      </c>
      <c r="N187" s="60"/>
    </row>
    <row r="188" spans="1:14" x14ac:dyDescent="0.25">
      <c r="A188" s="45">
        <v>894</v>
      </c>
      <c r="B188" s="45" t="s">
        <v>264</v>
      </c>
      <c r="C188" s="59">
        <v>42657</v>
      </c>
      <c r="D188" s="46" t="str">
        <f t="shared" si="4"/>
        <v>V</v>
      </c>
      <c r="E188" s="61">
        <f t="shared" si="5"/>
        <v>41</v>
      </c>
      <c r="F188" s="45" t="s">
        <v>76</v>
      </c>
      <c r="G188" s="51">
        <v>31</v>
      </c>
      <c r="H188" s="51">
        <v>34</v>
      </c>
      <c r="I188" s="51">
        <v>19</v>
      </c>
      <c r="J188" s="51">
        <v>7</v>
      </c>
      <c r="K188" s="51">
        <v>13</v>
      </c>
      <c r="L188" s="51">
        <v>11</v>
      </c>
      <c r="M188" s="51">
        <v>1</v>
      </c>
      <c r="N188" s="60" t="s">
        <v>265</v>
      </c>
    </row>
    <row r="189" spans="1:14" x14ac:dyDescent="0.25">
      <c r="A189" s="45">
        <v>895</v>
      </c>
      <c r="B189" s="45" t="s">
        <v>266</v>
      </c>
      <c r="C189" s="59">
        <v>42661</v>
      </c>
      <c r="D189" s="46" t="str">
        <f t="shared" si="4"/>
        <v>M</v>
      </c>
      <c r="E189" s="61">
        <f t="shared" si="5"/>
        <v>42</v>
      </c>
      <c r="F189" s="45" t="s">
        <v>76</v>
      </c>
      <c r="G189" s="51">
        <v>2</v>
      </c>
      <c r="H189" s="51">
        <v>25</v>
      </c>
      <c r="I189" s="51">
        <v>17</v>
      </c>
      <c r="J189" s="51">
        <v>21</v>
      </c>
      <c r="K189" s="51">
        <v>27</v>
      </c>
      <c r="L189" s="51">
        <v>9</v>
      </c>
      <c r="M189" s="51">
        <v>6</v>
      </c>
      <c r="N189" s="60"/>
    </row>
    <row r="190" spans="1:14" x14ac:dyDescent="0.25">
      <c r="A190" s="45">
        <v>896</v>
      </c>
      <c r="B190" s="45" t="s">
        <v>267</v>
      </c>
      <c r="C190" s="59">
        <v>42664</v>
      </c>
      <c r="D190" s="46" t="str">
        <f t="shared" si="4"/>
        <v>V</v>
      </c>
      <c r="E190" s="61">
        <f t="shared" si="5"/>
        <v>42</v>
      </c>
      <c r="F190" s="45" t="s">
        <v>76</v>
      </c>
      <c r="G190" s="51">
        <v>48</v>
      </c>
      <c r="H190" s="51">
        <v>9</v>
      </c>
      <c r="I190" s="51">
        <v>23</v>
      </c>
      <c r="J190" s="51">
        <v>20</v>
      </c>
      <c r="K190" s="51">
        <v>44</v>
      </c>
      <c r="L190" s="51">
        <v>10</v>
      </c>
      <c r="M190" s="51">
        <v>8</v>
      </c>
      <c r="N190" s="60" t="s">
        <v>268</v>
      </c>
    </row>
    <row r="191" spans="1:14" x14ac:dyDescent="0.25">
      <c r="A191" s="45">
        <v>897</v>
      </c>
      <c r="B191" s="45" t="s">
        <v>269</v>
      </c>
      <c r="C191" s="59">
        <v>42668</v>
      </c>
      <c r="D191" s="46" t="str">
        <f t="shared" si="4"/>
        <v>M</v>
      </c>
      <c r="E191" s="61">
        <f t="shared" si="5"/>
        <v>43</v>
      </c>
      <c r="F191" s="45" t="s">
        <v>76</v>
      </c>
      <c r="G191" s="51">
        <v>28</v>
      </c>
      <c r="H191" s="51">
        <v>15</v>
      </c>
      <c r="I191" s="51">
        <v>21</v>
      </c>
      <c r="J191" s="51">
        <v>3</v>
      </c>
      <c r="K191" s="51">
        <v>20</v>
      </c>
      <c r="L191" s="51">
        <v>5</v>
      </c>
      <c r="M191" s="51">
        <v>1</v>
      </c>
      <c r="N191" s="60"/>
    </row>
    <row r="192" spans="1:14" x14ac:dyDescent="0.25">
      <c r="A192" s="45">
        <v>898</v>
      </c>
      <c r="B192" s="45" t="s">
        <v>270</v>
      </c>
      <c r="C192" s="59">
        <v>42671</v>
      </c>
      <c r="D192" s="46" t="str">
        <f t="shared" si="4"/>
        <v>V</v>
      </c>
      <c r="E192" s="61">
        <f t="shared" si="5"/>
        <v>43</v>
      </c>
      <c r="F192" s="45" t="s">
        <v>76</v>
      </c>
      <c r="G192" s="51">
        <v>23</v>
      </c>
      <c r="H192" s="51">
        <v>43</v>
      </c>
      <c r="I192" s="51">
        <v>10</v>
      </c>
      <c r="J192" s="51">
        <v>19</v>
      </c>
      <c r="K192" s="51">
        <v>16</v>
      </c>
      <c r="L192" s="51">
        <v>8</v>
      </c>
      <c r="M192" s="51">
        <v>2</v>
      </c>
      <c r="N192" s="60" t="s">
        <v>271</v>
      </c>
    </row>
    <row r="193" spans="1:14" x14ac:dyDescent="0.25">
      <c r="A193" s="45">
        <v>899</v>
      </c>
      <c r="B193" s="45" t="s">
        <v>272</v>
      </c>
      <c r="C193" s="59">
        <v>42675</v>
      </c>
      <c r="D193" s="46" t="str">
        <f t="shared" si="4"/>
        <v>M</v>
      </c>
      <c r="E193" s="61">
        <f t="shared" si="5"/>
        <v>44</v>
      </c>
      <c r="F193" s="45" t="s">
        <v>76</v>
      </c>
      <c r="G193" s="51">
        <v>10</v>
      </c>
      <c r="H193" s="51">
        <v>20</v>
      </c>
      <c r="I193" s="51">
        <v>6</v>
      </c>
      <c r="J193" s="51">
        <v>37</v>
      </c>
      <c r="K193" s="51">
        <v>29</v>
      </c>
      <c r="L193" s="51">
        <v>9</v>
      </c>
      <c r="M193" s="51">
        <v>1</v>
      </c>
      <c r="N193" s="60"/>
    </row>
    <row r="194" spans="1:14" x14ac:dyDescent="0.25">
      <c r="A194" s="45">
        <v>900</v>
      </c>
      <c r="B194" s="45" t="s">
        <v>273</v>
      </c>
      <c r="C194" s="59">
        <v>42678</v>
      </c>
      <c r="D194" s="46" t="str">
        <f t="shared" ref="D194:D257" si="6">CHOOSE(WEEKDAY(C194),"D","L","M","X","J","V","S")</f>
        <v>V</v>
      </c>
      <c r="E194" s="61">
        <f t="shared" ref="E194:E257" si="7">WEEKNUM(C194,21)</f>
        <v>44</v>
      </c>
      <c r="F194" s="45" t="s">
        <v>76</v>
      </c>
      <c r="G194" s="51">
        <v>7</v>
      </c>
      <c r="H194" s="51">
        <v>11</v>
      </c>
      <c r="I194" s="51">
        <v>12</v>
      </c>
      <c r="J194" s="51">
        <v>48</v>
      </c>
      <c r="K194" s="51">
        <v>44</v>
      </c>
      <c r="L194" s="51">
        <v>7</v>
      </c>
      <c r="M194" s="51">
        <v>3</v>
      </c>
      <c r="N194" s="60" t="s">
        <v>274</v>
      </c>
    </row>
    <row r="195" spans="1:14" x14ac:dyDescent="0.25">
      <c r="A195" s="45">
        <v>901</v>
      </c>
      <c r="B195" s="45" t="s">
        <v>275</v>
      </c>
      <c r="C195" s="59">
        <v>42682</v>
      </c>
      <c r="D195" s="46" t="str">
        <f t="shared" si="6"/>
        <v>M</v>
      </c>
      <c r="E195" s="61">
        <f t="shared" si="7"/>
        <v>45</v>
      </c>
      <c r="F195" s="45" t="s">
        <v>76</v>
      </c>
      <c r="G195" s="51">
        <v>49</v>
      </c>
      <c r="H195" s="51">
        <v>47</v>
      </c>
      <c r="I195" s="51">
        <v>9</v>
      </c>
      <c r="J195" s="51">
        <v>50</v>
      </c>
      <c r="K195" s="51">
        <v>5</v>
      </c>
      <c r="L195" s="51">
        <v>9</v>
      </c>
      <c r="M195" s="51">
        <v>8</v>
      </c>
      <c r="N195" s="60"/>
    </row>
    <row r="196" spans="1:14" x14ac:dyDescent="0.25">
      <c r="A196" s="45">
        <v>902</v>
      </c>
      <c r="B196" s="45" t="s">
        <v>276</v>
      </c>
      <c r="C196" s="59">
        <v>42685</v>
      </c>
      <c r="D196" s="46" t="str">
        <f t="shared" si="6"/>
        <v>V</v>
      </c>
      <c r="E196" s="61">
        <f t="shared" si="7"/>
        <v>45</v>
      </c>
      <c r="F196" s="45" t="s">
        <v>76</v>
      </c>
      <c r="G196" s="51">
        <v>38</v>
      </c>
      <c r="H196" s="51">
        <v>49</v>
      </c>
      <c r="I196" s="51">
        <v>3</v>
      </c>
      <c r="J196" s="51">
        <v>22</v>
      </c>
      <c r="K196" s="51">
        <v>23</v>
      </c>
      <c r="L196" s="51">
        <v>9</v>
      </c>
      <c r="M196" s="51">
        <v>2</v>
      </c>
      <c r="N196" s="60" t="s">
        <v>277</v>
      </c>
    </row>
    <row r="197" spans="1:14" x14ac:dyDescent="0.25">
      <c r="A197" s="45">
        <v>903</v>
      </c>
      <c r="B197" s="45" t="s">
        <v>278</v>
      </c>
      <c r="C197" s="59">
        <v>42689</v>
      </c>
      <c r="D197" s="46" t="str">
        <f t="shared" si="6"/>
        <v>M</v>
      </c>
      <c r="E197" s="61">
        <f t="shared" si="7"/>
        <v>46</v>
      </c>
      <c r="F197" s="45" t="s">
        <v>76</v>
      </c>
      <c r="G197" s="51">
        <v>42</v>
      </c>
      <c r="H197" s="51">
        <v>7</v>
      </c>
      <c r="I197" s="51">
        <v>15</v>
      </c>
      <c r="J197" s="51">
        <v>36</v>
      </c>
      <c r="K197" s="51">
        <v>48</v>
      </c>
      <c r="L197" s="51">
        <v>3</v>
      </c>
      <c r="M197" s="51">
        <v>7</v>
      </c>
      <c r="N197" s="60"/>
    </row>
    <row r="198" spans="1:14" x14ac:dyDescent="0.25">
      <c r="A198" s="45">
        <v>904</v>
      </c>
      <c r="B198" s="45" t="s">
        <v>279</v>
      </c>
      <c r="C198" s="59">
        <v>42692</v>
      </c>
      <c r="D198" s="46" t="str">
        <f t="shared" si="6"/>
        <v>V</v>
      </c>
      <c r="E198" s="61">
        <f t="shared" si="7"/>
        <v>46</v>
      </c>
      <c r="F198" s="45" t="s">
        <v>76</v>
      </c>
      <c r="G198" s="51">
        <v>32</v>
      </c>
      <c r="H198" s="51">
        <v>27</v>
      </c>
      <c r="I198" s="51">
        <v>12</v>
      </c>
      <c r="J198" s="51">
        <v>47</v>
      </c>
      <c r="K198" s="51">
        <v>3</v>
      </c>
      <c r="L198" s="51">
        <v>8</v>
      </c>
      <c r="M198" s="51">
        <v>6</v>
      </c>
      <c r="N198" s="60" t="s">
        <v>280</v>
      </c>
    </row>
    <row r="199" spans="1:14" x14ac:dyDescent="0.25">
      <c r="A199" s="45">
        <v>905</v>
      </c>
      <c r="B199" s="45" t="s">
        <v>281</v>
      </c>
      <c r="C199" s="59">
        <v>42696</v>
      </c>
      <c r="D199" s="46" t="str">
        <f t="shared" si="6"/>
        <v>M</v>
      </c>
      <c r="E199" s="61">
        <f t="shared" si="7"/>
        <v>47</v>
      </c>
      <c r="F199" s="45" t="s">
        <v>76</v>
      </c>
      <c r="G199" s="51">
        <v>47</v>
      </c>
      <c r="H199" s="51">
        <v>10</v>
      </c>
      <c r="I199" s="51">
        <v>5</v>
      </c>
      <c r="J199" s="51">
        <v>33</v>
      </c>
      <c r="K199" s="51">
        <v>34</v>
      </c>
      <c r="L199" s="51">
        <v>10</v>
      </c>
      <c r="M199" s="51">
        <v>2</v>
      </c>
      <c r="N199" s="60"/>
    </row>
    <row r="200" spans="1:14" x14ac:dyDescent="0.25">
      <c r="A200" s="45">
        <v>906</v>
      </c>
      <c r="B200" s="45" t="s">
        <v>282</v>
      </c>
      <c r="C200" s="59">
        <v>42699</v>
      </c>
      <c r="D200" s="46" t="str">
        <f t="shared" si="6"/>
        <v>V</v>
      </c>
      <c r="E200" s="61">
        <f t="shared" si="7"/>
        <v>47</v>
      </c>
      <c r="F200" s="45" t="s">
        <v>76</v>
      </c>
      <c r="G200" s="51">
        <v>28</v>
      </c>
      <c r="H200" s="51">
        <v>23</v>
      </c>
      <c r="I200" s="51">
        <v>5</v>
      </c>
      <c r="J200" s="51">
        <v>11</v>
      </c>
      <c r="K200" s="51">
        <v>17</v>
      </c>
      <c r="L200" s="51">
        <v>10</v>
      </c>
      <c r="M200" s="51">
        <v>11</v>
      </c>
      <c r="N200" s="60" t="s">
        <v>283</v>
      </c>
    </row>
    <row r="201" spans="1:14" x14ac:dyDescent="0.25">
      <c r="A201" s="45">
        <v>907</v>
      </c>
      <c r="B201" s="45" t="s">
        <v>284</v>
      </c>
      <c r="C201" s="59">
        <v>42703</v>
      </c>
      <c r="D201" s="46" t="str">
        <f t="shared" si="6"/>
        <v>M</v>
      </c>
      <c r="E201" s="61">
        <f t="shared" si="7"/>
        <v>48</v>
      </c>
      <c r="F201" s="45" t="s">
        <v>76</v>
      </c>
      <c r="G201" s="51">
        <v>38</v>
      </c>
      <c r="H201" s="51">
        <v>27</v>
      </c>
      <c r="I201" s="51">
        <v>21</v>
      </c>
      <c r="J201" s="51">
        <v>28</v>
      </c>
      <c r="K201" s="51">
        <v>26</v>
      </c>
      <c r="L201" s="51">
        <v>11</v>
      </c>
      <c r="M201" s="51">
        <v>9</v>
      </c>
      <c r="N201" s="60"/>
    </row>
    <row r="202" spans="1:14" x14ac:dyDescent="0.25">
      <c r="A202" s="45">
        <v>908</v>
      </c>
      <c r="B202" s="45" t="s">
        <v>285</v>
      </c>
      <c r="C202" s="59">
        <v>42706</v>
      </c>
      <c r="D202" s="46" t="str">
        <f t="shared" si="6"/>
        <v>V</v>
      </c>
      <c r="E202" s="61">
        <f t="shared" si="7"/>
        <v>48</v>
      </c>
      <c r="F202" s="45" t="s">
        <v>76</v>
      </c>
      <c r="G202" s="51">
        <v>23</v>
      </c>
      <c r="H202" s="51">
        <v>32</v>
      </c>
      <c r="I202" s="51">
        <v>6</v>
      </c>
      <c r="J202" s="51">
        <v>11</v>
      </c>
      <c r="K202" s="51">
        <v>31</v>
      </c>
      <c r="L202" s="51">
        <v>2</v>
      </c>
      <c r="M202" s="51">
        <v>12</v>
      </c>
      <c r="N202" s="60" t="s">
        <v>286</v>
      </c>
    </row>
    <row r="203" spans="1:14" x14ac:dyDescent="0.25">
      <c r="A203" s="45">
        <v>909</v>
      </c>
      <c r="B203" s="45" t="s">
        <v>287</v>
      </c>
      <c r="C203" s="59">
        <v>42710</v>
      </c>
      <c r="D203" s="46" t="str">
        <f t="shared" si="6"/>
        <v>M</v>
      </c>
      <c r="E203" s="61">
        <f t="shared" si="7"/>
        <v>49</v>
      </c>
      <c r="F203" s="45" t="s">
        <v>76</v>
      </c>
      <c r="G203" s="51">
        <v>27</v>
      </c>
      <c r="H203" s="51">
        <v>1</v>
      </c>
      <c r="I203" s="51">
        <v>7</v>
      </c>
      <c r="J203" s="51">
        <v>11</v>
      </c>
      <c r="K203" s="51">
        <v>45</v>
      </c>
      <c r="L203" s="51">
        <v>9</v>
      </c>
      <c r="M203" s="51">
        <v>4</v>
      </c>
      <c r="N203" s="60"/>
    </row>
    <row r="204" spans="1:14" x14ac:dyDescent="0.25">
      <c r="A204" s="45">
        <v>910</v>
      </c>
      <c r="B204" s="45" t="s">
        <v>288</v>
      </c>
      <c r="C204" s="59">
        <v>42713</v>
      </c>
      <c r="D204" s="46" t="str">
        <f t="shared" si="6"/>
        <v>V</v>
      </c>
      <c r="E204" s="61">
        <f t="shared" si="7"/>
        <v>49</v>
      </c>
      <c r="F204" s="45" t="s">
        <v>76</v>
      </c>
      <c r="G204" s="51">
        <v>6</v>
      </c>
      <c r="H204" s="51">
        <v>40</v>
      </c>
      <c r="I204" s="51">
        <v>37</v>
      </c>
      <c r="J204" s="51">
        <v>28</v>
      </c>
      <c r="K204" s="51">
        <v>12</v>
      </c>
      <c r="L204" s="51">
        <v>1</v>
      </c>
      <c r="M204" s="51">
        <v>5</v>
      </c>
      <c r="N204" s="60" t="s">
        <v>289</v>
      </c>
    </row>
    <row r="205" spans="1:14" x14ac:dyDescent="0.25">
      <c r="A205" s="45">
        <v>911</v>
      </c>
      <c r="B205" s="45" t="s">
        <v>290</v>
      </c>
      <c r="C205" s="59">
        <v>42717</v>
      </c>
      <c r="D205" s="46" t="str">
        <f t="shared" si="6"/>
        <v>M</v>
      </c>
      <c r="E205" s="61">
        <f t="shared" si="7"/>
        <v>50</v>
      </c>
      <c r="F205" s="45" t="s">
        <v>76</v>
      </c>
      <c r="G205" s="51">
        <v>28</v>
      </c>
      <c r="H205" s="51">
        <v>50</v>
      </c>
      <c r="I205" s="51">
        <v>48</v>
      </c>
      <c r="J205" s="51">
        <v>29</v>
      </c>
      <c r="K205" s="51">
        <v>14</v>
      </c>
      <c r="L205" s="51">
        <v>8</v>
      </c>
      <c r="M205" s="51">
        <v>2</v>
      </c>
      <c r="N205" s="60"/>
    </row>
    <row r="206" spans="1:14" x14ac:dyDescent="0.25">
      <c r="A206" s="45">
        <v>912</v>
      </c>
      <c r="B206" s="45" t="s">
        <v>291</v>
      </c>
      <c r="C206" s="59">
        <v>42720</v>
      </c>
      <c r="D206" s="46" t="str">
        <f t="shared" si="6"/>
        <v>V</v>
      </c>
      <c r="E206" s="61">
        <f t="shared" si="7"/>
        <v>50</v>
      </c>
      <c r="F206" s="45" t="s">
        <v>76</v>
      </c>
      <c r="G206" s="51">
        <v>45</v>
      </c>
      <c r="H206" s="51">
        <v>10</v>
      </c>
      <c r="I206" s="51">
        <v>6</v>
      </c>
      <c r="J206" s="51">
        <v>30</v>
      </c>
      <c r="K206" s="51">
        <v>41</v>
      </c>
      <c r="L206" s="51">
        <v>11</v>
      </c>
      <c r="M206" s="51">
        <v>4</v>
      </c>
      <c r="N206" s="60" t="s">
        <v>292</v>
      </c>
    </row>
    <row r="207" spans="1:14" x14ac:dyDescent="0.25">
      <c r="A207" s="45">
        <v>913</v>
      </c>
      <c r="B207" s="45" t="s">
        <v>293</v>
      </c>
      <c r="C207" s="59">
        <v>42724</v>
      </c>
      <c r="D207" s="46" t="str">
        <f t="shared" si="6"/>
        <v>M</v>
      </c>
      <c r="E207" s="61">
        <f t="shared" si="7"/>
        <v>51</v>
      </c>
      <c r="F207" s="45" t="s">
        <v>76</v>
      </c>
      <c r="G207" s="51">
        <v>15</v>
      </c>
      <c r="H207" s="51">
        <v>27</v>
      </c>
      <c r="I207" s="51">
        <v>13</v>
      </c>
      <c r="J207" s="51">
        <v>21</v>
      </c>
      <c r="K207" s="51">
        <v>17</v>
      </c>
      <c r="L207" s="51">
        <v>3</v>
      </c>
      <c r="M207" s="51">
        <v>2</v>
      </c>
      <c r="N207" s="60"/>
    </row>
    <row r="208" spans="1:14" x14ac:dyDescent="0.25">
      <c r="A208" s="45">
        <v>914</v>
      </c>
      <c r="B208" s="45" t="s">
        <v>294</v>
      </c>
      <c r="C208" s="59">
        <v>42727</v>
      </c>
      <c r="D208" s="46" t="str">
        <f t="shared" si="6"/>
        <v>V</v>
      </c>
      <c r="E208" s="61">
        <f t="shared" si="7"/>
        <v>51</v>
      </c>
      <c r="F208" s="45" t="s">
        <v>76</v>
      </c>
      <c r="G208" s="51">
        <v>46</v>
      </c>
      <c r="H208" s="51">
        <v>39</v>
      </c>
      <c r="I208" s="51">
        <v>16</v>
      </c>
      <c r="J208" s="51">
        <v>20</v>
      </c>
      <c r="K208" s="51">
        <v>4</v>
      </c>
      <c r="L208" s="51">
        <v>5</v>
      </c>
      <c r="M208" s="51">
        <v>2</v>
      </c>
      <c r="N208" s="60" t="s">
        <v>295</v>
      </c>
    </row>
    <row r="209" spans="1:14" x14ac:dyDescent="0.25">
      <c r="A209" s="45">
        <v>915</v>
      </c>
      <c r="B209" s="45" t="s">
        <v>296</v>
      </c>
      <c r="C209" s="59">
        <v>42731</v>
      </c>
      <c r="D209" s="46" t="str">
        <f t="shared" si="6"/>
        <v>M</v>
      </c>
      <c r="E209" s="61">
        <f t="shared" si="7"/>
        <v>52</v>
      </c>
      <c r="F209" s="45" t="s">
        <v>76</v>
      </c>
      <c r="G209" s="51">
        <v>32</v>
      </c>
      <c r="H209" s="51">
        <v>22</v>
      </c>
      <c r="I209" s="51">
        <v>39</v>
      </c>
      <c r="J209" s="51">
        <v>25</v>
      </c>
      <c r="K209" s="51">
        <v>3</v>
      </c>
      <c r="L209" s="51">
        <v>7</v>
      </c>
      <c r="M209" s="51">
        <v>12</v>
      </c>
      <c r="N209" s="60"/>
    </row>
    <row r="210" spans="1:14" x14ac:dyDescent="0.25">
      <c r="A210" s="45">
        <v>916</v>
      </c>
      <c r="B210" s="45" t="s">
        <v>297</v>
      </c>
      <c r="C210" s="59">
        <v>42734</v>
      </c>
      <c r="D210" s="46" t="str">
        <f t="shared" si="6"/>
        <v>V</v>
      </c>
      <c r="E210" s="61">
        <f t="shared" si="7"/>
        <v>52</v>
      </c>
      <c r="F210" s="45" t="s">
        <v>76</v>
      </c>
      <c r="G210" s="51">
        <v>10</v>
      </c>
      <c r="H210" s="51">
        <v>22</v>
      </c>
      <c r="I210" s="51">
        <v>29</v>
      </c>
      <c r="J210" s="51">
        <v>47</v>
      </c>
      <c r="K210" s="51">
        <v>8</v>
      </c>
      <c r="L210" s="51">
        <v>1</v>
      </c>
      <c r="M210" s="51">
        <v>3</v>
      </c>
      <c r="N210" s="60" t="s">
        <v>298</v>
      </c>
    </row>
    <row r="211" spans="1:14" x14ac:dyDescent="0.25">
      <c r="A211" s="45">
        <v>917</v>
      </c>
      <c r="B211" s="45" t="s">
        <v>299</v>
      </c>
      <c r="C211" s="59">
        <v>42738</v>
      </c>
      <c r="D211" s="46" t="str">
        <f t="shared" si="6"/>
        <v>M</v>
      </c>
      <c r="E211" s="61">
        <f t="shared" si="7"/>
        <v>1</v>
      </c>
      <c r="F211" s="45" t="s">
        <v>76</v>
      </c>
      <c r="G211" s="51">
        <v>34</v>
      </c>
      <c r="H211" s="51">
        <v>27</v>
      </c>
      <c r="I211" s="51">
        <v>49</v>
      </c>
      <c r="J211" s="51">
        <v>23</v>
      </c>
      <c r="K211" s="51">
        <v>19</v>
      </c>
      <c r="L211" s="51">
        <v>11</v>
      </c>
      <c r="M211" s="51">
        <v>1</v>
      </c>
      <c r="N211" s="60"/>
    </row>
    <row r="212" spans="1:14" x14ac:dyDescent="0.25">
      <c r="A212" s="45">
        <v>918</v>
      </c>
      <c r="B212" s="45" t="s">
        <v>300</v>
      </c>
      <c r="C212" s="59">
        <v>42741</v>
      </c>
      <c r="D212" s="46" t="str">
        <f t="shared" si="6"/>
        <v>V</v>
      </c>
      <c r="E212" s="61">
        <f t="shared" si="7"/>
        <v>1</v>
      </c>
      <c r="F212" s="45" t="s">
        <v>76</v>
      </c>
      <c r="G212" s="51">
        <v>21</v>
      </c>
      <c r="H212" s="51">
        <v>14</v>
      </c>
      <c r="I212" s="51">
        <v>49</v>
      </c>
      <c r="J212" s="51">
        <v>10</v>
      </c>
      <c r="K212" s="51">
        <v>18</v>
      </c>
      <c r="L212" s="51">
        <v>9</v>
      </c>
      <c r="M212" s="51">
        <v>11</v>
      </c>
      <c r="N212" s="60" t="s">
        <v>301</v>
      </c>
    </row>
    <row r="213" spans="1:14" x14ac:dyDescent="0.25">
      <c r="A213" s="45">
        <v>919</v>
      </c>
      <c r="B213" s="45" t="s">
        <v>302</v>
      </c>
      <c r="C213" s="59">
        <v>42745</v>
      </c>
      <c r="D213" s="46" t="str">
        <f t="shared" si="6"/>
        <v>M</v>
      </c>
      <c r="E213" s="61">
        <f t="shared" si="7"/>
        <v>2</v>
      </c>
      <c r="F213" s="45" t="s">
        <v>76</v>
      </c>
      <c r="G213" s="51">
        <v>44</v>
      </c>
      <c r="H213" s="51">
        <v>29</v>
      </c>
      <c r="I213" s="51">
        <v>35</v>
      </c>
      <c r="J213" s="51">
        <v>11</v>
      </c>
      <c r="K213" s="51">
        <v>2</v>
      </c>
      <c r="L213" s="51">
        <v>4</v>
      </c>
      <c r="M213" s="51">
        <v>9</v>
      </c>
      <c r="N213" s="60"/>
    </row>
    <row r="214" spans="1:14" x14ac:dyDescent="0.25">
      <c r="A214" s="45">
        <v>920</v>
      </c>
      <c r="B214" s="45" t="s">
        <v>303</v>
      </c>
      <c r="C214" s="59">
        <v>42748</v>
      </c>
      <c r="D214" s="46" t="str">
        <f t="shared" si="6"/>
        <v>V</v>
      </c>
      <c r="E214" s="61">
        <f t="shared" si="7"/>
        <v>2</v>
      </c>
      <c r="F214" s="45" t="s">
        <v>76</v>
      </c>
      <c r="G214" s="51">
        <v>16</v>
      </c>
      <c r="H214" s="51">
        <v>7</v>
      </c>
      <c r="I214" s="51">
        <v>50</v>
      </c>
      <c r="J214" s="51">
        <v>3</v>
      </c>
      <c r="K214" s="51">
        <v>26</v>
      </c>
      <c r="L214" s="51">
        <v>4</v>
      </c>
      <c r="M214" s="51">
        <v>7</v>
      </c>
      <c r="N214" s="60" t="s">
        <v>304</v>
      </c>
    </row>
    <row r="215" spans="1:14" x14ac:dyDescent="0.25">
      <c r="A215" s="45">
        <v>921</v>
      </c>
      <c r="B215" s="45" t="s">
        <v>305</v>
      </c>
      <c r="C215" s="59">
        <v>42752</v>
      </c>
      <c r="D215" s="46" t="str">
        <f t="shared" si="6"/>
        <v>M</v>
      </c>
      <c r="E215" s="61">
        <f t="shared" si="7"/>
        <v>3</v>
      </c>
      <c r="F215" s="45" t="s">
        <v>76</v>
      </c>
      <c r="G215" s="51">
        <v>43</v>
      </c>
      <c r="H215" s="51">
        <v>4</v>
      </c>
      <c r="I215" s="51">
        <v>25</v>
      </c>
      <c r="J215" s="51">
        <v>16</v>
      </c>
      <c r="K215" s="51">
        <v>47</v>
      </c>
      <c r="L215" s="51">
        <v>10</v>
      </c>
      <c r="M215" s="51">
        <v>2</v>
      </c>
      <c r="N215" s="60"/>
    </row>
    <row r="216" spans="1:14" x14ac:dyDescent="0.25">
      <c r="A216" s="45">
        <v>922</v>
      </c>
      <c r="B216" s="45" t="s">
        <v>306</v>
      </c>
      <c r="C216" s="59">
        <v>42755</v>
      </c>
      <c r="D216" s="46" t="str">
        <f t="shared" si="6"/>
        <v>V</v>
      </c>
      <c r="E216" s="61">
        <f t="shared" si="7"/>
        <v>3</v>
      </c>
      <c r="F216" s="45" t="s">
        <v>76</v>
      </c>
      <c r="G216" s="51">
        <v>17</v>
      </c>
      <c r="H216" s="51">
        <v>10</v>
      </c>
      <c r="I216" s="51">
        <v>27</v>
      </c>
      <c r="J216" s="51">
        <v>49</v>
      </c>
      <c r="K216" s="51">
        <v>31</v>
      </c>
      <c r="L216" s="51">
        <v>3</v>
      </c>
      <c r="M216" s="51">
        <v>5</v>
      </c>
      <c r="N216" s="60" t="s">
        <v>307</v>
      </c>
    </row>
    <row r="217" spans="1:14" x14ac:dyDescent="0.25">
      <c r="A217" s="45">
        <v>923</v>
      </c>
      <c r="B217" s="45" t="s">
        <v>308</v>
      </c>
      <c r="C217" s="59">
        <v>42759</v>
      </c>
      <c r="D217" s="46" t="str">
        <f t="shared" si="6"/>
        <v>M</v>
      </c>
      <c r="E217" s="61">
        <f t="shared" si="7"/>
        <v>4</v>
      </c>
      <c r="F217" s="45" t="s">
        <v>76</v>
      </c>
      <c r="G217" s="51">
        <v>5</v>
      </c>
      <c r="H217" s="51">
        <v>1</v>
      </c>
      <c r="I217" s="51">
        <v>23</v>
      </c>
      <c r="J217" s="51">
        <v>17</v>
      </c>
      <c r="K217" s="51">
        <v>7</v>
      </c>
      <c r="L217" s="51">
        <v>3</v>
      </c>
      <c r="M217" s="51">
        <v>8</v>
      </c>
      <c r="N217" s="60"/>
    </row>
    <row r="218" spans="1:14" x14ac:dyDescent="0.25">
      <c r="A218" s="45">
        <v>924</v>
      </c>
      <c r="B218" s="45" t="s">
        <v>309</v>
      </c>
      <c r="C218" s="59">
        <v>42762</v>
      </c>
      <c r="D218" s="46" t="str">
        <f t="shared" si="6"/>
        <v>V</v>
      </c>
      <c r="E218" s="61">
        <f t="shared" si="7"/>
        <v>4</v>
      </c>
      <c r="F218" s="45" t="s">
        <v>76</v>
      </c>
      <c r="G218" s="51">
        <v>28</v>
      </c>
      <c r="H218" s="51">
        <v>45</v>
      </c>
      <c r="I218" s="51">
        <v>20</v>
      </c>
      <c r="J218" s="51">
        <v>17</v>
      </c>
      <c r="K218" s="51">
        <v>48</v>
      </c>
      <c r="L218" s="51">
        <v>9</v>
      </c>
      <c r="M218" s="51">
        <v>5</v>
      </c>
      <c r="N218" s="60" t="s">
        <v>310</v>
      </c>
    </row>
    <row r="219" spans="1:14" x14ac:dyDescent="0.25">
      <c r="A219" s="45">
        <v>925</v>
      </c>
      <c r="B219" s="45" t="s">
        <v>311</v>
      </c>
      <c r="C219" s="59">
        <v>42766</v>
      </c>
      <c r="D219" s="46" t="str">
        <f t="shared" si="6"/>
        <v>M</v>
      </c>
      <c r="E219" s="61">
        <f t="shared" si="7"/>
        <v>5</v>
      </c>
      <c r="F219" s="45" t="s">
        <v>76</v>
      </c>
      <c r="G219" s="51">
        <v>4</v>
      </c>
      <c r="H219" s="51">
        <v>17</v>
      </c>
      <c r="I219" s="51">
        <v>44</v>
      </c>
      <c r="J219" s="51">
        <v>23</v>
      </c>
      <c r="K219" s="51">
        <v>3</v>
      </c>
      <c r="L219" s="51">
        <v>6</v>
      </c>
      <c r="M219" s="51">
        <v>9</v>
      </c>
      <c r="N219" s="60"/>
    </row>
    <row r="220" spans="1:14" x14ac:dyDescent="0.25">
      <c r="A220" s="45">
        <v>926</v>
      </c>
      <c r="B220" s="45" t="s">
        <v>312</v>
      </c>
      <c r="C220" s="59">
        <v>42769</v>
      </c>
      <c r="D220" s="46" t="str">
        <f t="shared" si="6"/>
        <v>V</v>
      </c>
      <c r="E220" s="61">
        <f t="shared" si="7"/>
        <v>5</v>
      </c>
      <c r="F220" s="45" t="s">
        <v>76</v>
      </c>
      <c r="G220" s="51">
        <v>3</v>
      </c>
      <c r="H220" s="51">
        <v>4</v>
      </c>
      <c r="I220" s="51">
        <v>50</v>
      </c>
      <c r="J220" s="51">
        <v>46</v>
      </c>
      <c r="K220" s="51">
        <v>15</v>
      </c>
      <c r="L220" s="51">
        <v>9</v>
      </c>
      <c r="M220" s="51">
        <v>5</v>
      </c>
      <c r="N220" s="60" t="s">
        <v>313</v>
      </c>
    </row>
    <row r="221" spans="1:14" x14ac:dyDescent="0.25">
      <c r="A221" s="45">
        <v>927</v>
      </c>
      <c r="B221" s="45" t="s">
        <v>314</v>
      </c>
      <c r="C221" s="59">
        <v>42773</v>
      </c>
      <c r="D221" s="46" t="str">
        <f t="shared" si="6"/>
        <v>M</v>
      </c>
      <c r="E221" s="61">
        <f t="shared" si="7"/>
        <v>6</v>
      </c>
      <c r="F221" s="45" t="s">
        <v>76</v>
      </c>
      <c r="G221" s="51">
        <v>44</v>
      </c>
      <c r="H221" s="51">
        <v>38</v>
      </c>
      <c r="I221" s="51">
        <v>4</v>
      </c>
      <c r="J221" s="51">
        <v>31</v>
      </c>
      <c r="K221" s="51">
        <v>10</v>
      </c>
      <c r="L221" s="51">
        <v>10</v>
      </c>
      <c r="M221" s="51">
        <v>8</v>
      </c>
      <c r="N221" s="60"/>
    </row>
    <row r="222" spans="1:14" x14ac:dyDescent="0.25">
      <c r="A222" s="45">
        <v>928</v>
      </c>
      <c r="B222" s="45" t="s">
        <v>315</v>
      </c>
      <c r="C222" s="59">
        <v>42776</v>
      </c>
      <c r="D222" s="46" t="str">
        <f t="shared" si="6"/>
        <v>V</v>
      </c>
      <c r="E222" s="61">
        <f t="shared" si="7"/>
        <v>6</v>
      </c>
      <c r="F222" s="45" t="s">
        <v>76</v>
      </c>
      <c r="G222" s="51">
        <v>43</v>
      </c>
      <c r="H222" s="51">
        <v>26</v>
      </c>
      <c r="I222" s="51">
        <v>7</v>
      </c>
      <c r="J222" s="51">
        <v>35</v>
      </c>
      <c r="K222" s="51">
        <v>21</v>
      </c>
      <c r="L222" s="51">
        <v>9</v>
      </c>
      <c r="M222" s="51">
        <v>2</v>
      </c>
      <c r="N222" s="60" t="s">
        <v>316</v>
      </c>
    </row>
    <row r="223" spans="1:14" x14ac:dyDescent="0.25">
      <c r="A223" s="45">
        <v>929</v>
      </c>
      <c r="B223" s="45" t="s">
        <v>317</v>
      </c>
      <c r="C223" s="59">
        <v>42780</v>
      </c>
      <c r="D223" s="46" t="str">
        <f t="shared" si="6"/>
        <v>M</v>
      </c>
      <c r="E223" s="61">
        <f t="shared" si="7"/>
        <v>7</v>
      </c>
      <c r="F223" s="45" t="s">
        <v>76</v>
      </c>
      <c r="G223" s="51">
        <v>44</v>
      </c>
      <c r="H223" s="51">
        <v>40</v>
      </c>
      <c r="I223" s="51">
        <v>24</v>
      </c>
      <c r="J223" s="51">
        <v>2</v>
      </c>
      <c r="K223" s="51">
        <v>10</v>
      </c>
      <c r="L223" s="51">
        <v>3</v>
      </c>
      <c r="M223" s="51">
        <v>10</v>
      </c>
      <c r="N223" s="60"/>
    </row>
    <row r="224" spans="1:14" x14ac:dyDescent="0.25">
      <c r="A224" s="45">
        <v>930</v>
      </c>
      <c r="B224" s="45" t="s">
        <v>318</v>
      </c>
      <c r="C224" s="59">
        <v>42783</v>
      </c>
      <c r="D224" s="46" t="str">
        <f t="shared" si="6"/>
        <v>V</v>
      </c>
      <c r="E224" s="61">
        <f t="shared" si="7"/>
        <v>7</v>
      </c>
      <c r="F224" s="45" t="s">
        <v>76</v>
      </c>
      <c r="G224" s="51">
        <v>25</v>
      </c>
      <c r="H224" s="51">
        <v>19</v>
      </c>
      <c r="I224" s="51">
        <v>33</v>
      </c>
      <c r="J224" s="51">
        <v>36</v>
      </c>
      <c r="K224" s="51">
        <v>48</v>
      </c>
      <c r="L224" s="51">
        <v>2</v>
      </c>
      <c r="M224" s="51">
        <v>9</v>
      </c>
      <c r="N224" s="60" t="s">
        <v>319</v>
      </c>
    </row>
    <row r="225" spans="1:14" x14ac:dyDescent="0.25">
      <c r="A225" s="45">
        <v>931</v>
      </c>
      <c r="B225" s="45" t="s">
        <v>320</v>
      </c>
      <c r="C225" s="59">
        <v>42787</v>
      </c>
      <c r="D225" s="46" t="str">
        <f t="shared" si="6"/>
        <v>M</v>
      </c>
      <c r="E225" s="61">
        <f t="shared" si="7"/>
        <v>8</v>
      </c>
      <c r="F225" s="45" t="s">
        <v>76</v>
      </c>
      <c r="G225" s="51">
        <v>19</v>
      </c>
      <c r="H225" s="51">
        <v>41</v>
      </c>
      <c r="I225" s="51">
        <v>49</v>
      </c>
      <c r="J225" s="51">
        <v>13</v>
      </c>
      <c r="K225" s="51">
        <v>45</v>
      </c>
      <c r="L225" s="51">
        <v>4</v>
      </c>
      <c r="M225" s="51">
        <v>3</v>
      </c>
      <c r="N225" s="60"/>
    </row>
    <row r="226" spans="1:14" x14ac:dyDescent="0.25">
      <c r="A226" s="45">
        <v>932</v>
      </c>
      <c r="B226" s="45" t="s">
        <v>321</v>
      </c>
      <c r="C226" s="59">
        <v>42790</v>
      </c>
      <c r="D226" s="46" t="str">
        <f t="shared" si="6"/>
        <v>V</v>
      </c>
      <c r="E226" s="61">
        <f t="shared" si="7"/>
        <v>8</v>
      </c>
      <c r="F226" s="45" t="s">
        <v>76</v>
      </c>
      <c r="G226" s="51">
        <v>13</v>
      </c>
      <c r="H226" s="51">
        <v>2</v>
      </c>
      <c r="I226" s="51">
        <v>43</v>
      </c>
      <c r="J226" s="51">
        <v>22</v>
      </c>
      <c r="K226" s="51">
        <v>4</v>
      </c>
      <c r="L226" s="51">
        <v>8</v>
      </c>
      <c r="M226" s="51">
        <v>9</v>
      </c>
      <c r="N226" s="60" t="s">
        <v>322</v>
      </c>
    </row>
    <row r="227" spans="1:14" x14ac:dyDescent="0.25">
      <c r="A227" s="45">
        <v>933</v>
      </c>
      <c r="B227" s="45" t="s">
        <v>323</v>
      </c>
      <c r="C227" s="59">
        <v>42794</v>
      </c>
      <c r="D227" s="46" t="str">
        <f t="shared" si="6"/>
        <v>M</v>
      </c>
      <c r="E227" s="61">
        <f t="shared" si="7"/>
        <v>9</v>
      </c>
      <c r="F227" s="45" t="s">
        <v>76</v>
      </c>
      <c r="G227" s="51">
        <v>35</v>
      </c>
      <c r="H227" s="51">
        <v>31</v>
      </c>
      <c r="I227" s="51">
        <v>10</v>
      </c>
      <c r="J227" s="51">
        <v>42</v>
      </c>
      <c r="K227" s="51">
        <v>20</v>
      </c>
      <c r="L227" s="51">
        <v>2</v>
      </c>
      <c r="M227" s="51">
        <v>12</v>
      </c>
      <c r="N227" s="60"/>
    </row>
    <row r="228" spans="1:14" x14ac:dyDescent="0.25">
      <c r="A228" s="45">
        <v>934</v>
      </c>
      <c r="B228" s="45" t="s">
        <v>324</v>
      </c>
      <c r="C228" s="59">
        <v>42797</v>
      </c>
      <c r="D228" s="46" t="str">
        <f t="shared" si="6"/>
        <v>V</v>
      </c>
      <c r="E228" s="61">
        <f t="shared" si="7"/>
        <v>9</v>
      </c>
      <c r="F228" s="45" t="s">
        <v>76</v>
      </c>
      <c r="G228" s="51">
        <v>47</v>
      </c>
      <c r="H228" s="51">
        <v>2</v>
      </c>
      <c r="I228" s="51">
        <v>11</v>
      </c>
      <c r="J228" s="51">
        <v>29</v>
      </c>
      <c r="K228" s="51">
        <v>30</v>
      </c>
      <c r="L228" s="51">
        <v>12</v>
      </c>
      <c r="M228" s="51">
        <v>1</v>
      </c>
      <c r="N228" s="60" t="s">
        <v>325</v>
      </c>
    </row>
    <row r="229" spans="1:14" x14ac:dyDescent="0.25">
      <c r="A229" s="45">
        <v>935</v>
      </c>
      <c r="B229" s="45" t="s">
        <v>326</v>
      </c>
      <c r="C229" s="59">
        <v>42801</v>
      </c>
      <c r="D229" s="46" t="str">
        <f t="shared" si="6"/>
        <v>M</v>
      </c>
      <c r="E229" s="61">
        <f t="shared" si="7"/>
        <v>10</v>
      </c>
      <c r="F229" s="45" t="s">
        <v>76</v>
      </c>
      <c r="G229" s="51">
        <v>6</v>
      </c>
      <c r="H229" s="51">
        <v>37</v>
      </c>
      <c r="I229" s="51">
        <v>50</v>
      </c>
      <c r="J229" s="51">
        <v>41</v>
      </c>
      <c r="K229" s="51">
        <v>48</v>
      </c>
      <c r="L229" s="51">
        <v>5</v>
      </c>
      <c r="M229" s="51">
        <v>4</v>
      </c>
      <c r="N229" s="60"/>
    </row>
    <row r="230" spans="1:14" x14ac:dyDescent="0.25">
      <c r="A230" s="45">
        <v>936</v>
      </c>
      <c r="B230" s="45" t="s">
        <v>327</v>
      </c>
      <c r="C230" s="59">
        <v>42804</v>
      </c>
      <c r="D230" s="46" t="str">
        <f t="shared" si="6"/>
        <v>V</v>
      </c>
      <c r="E230" s="61">
        <f t="shared" si="7"/>
        <v>10</v>
      </c>
      <c r="F230" s="45" t="s">
        <v>76</v>
      </c>
      <c r="G230" s="51">
        <v>38</v>
      </c>
      <c r="H230" s="51">
        <v>49</v>
      </c>
      <c r="I230" s="51">
        <v>31</v>
      </c>
      <c r="J230" s="51">
        <v>47</v>
      </c>
      <c r="K230" s="51">
        <v>36</v>
      </c>
      <c r="L230" s="51">
        <v>8</v>
      </c>
      <c r="M230" s="51">
        <v>11</v>
      </c>
      <c r="N230" s="60" t="s">
        <v>328</v>
      </c>
    </row>
    <row r="231" spans="1:14" x14ac:dyDescent="0.25">
      <c r="A231" s="45">
        <v>937</v>
      </c>
      <c r="B231" s="45" t="s">
        <v>329</v>
      </c>
      <c r="C231" s="59">
        <v>42808</v>
      </c>
      <c r="D231" s="46" t="str">
        <f t="shared" si="6"/>
        <v>M</v>
      </c>
      <c r="E231" s="61">
        <f t="shared" si="7"/>
        <v>11</v>
      </c>
      <c r="F231" s="45" t="s">
        <v>76</v>
      </c>
      <c r="G231" s="51">
        <v>21</v>
      </c>
      <c r="H231" s="51">
        <v>5</v>
      </c>
      <c r="I231" s="51">
        <v>44</v>
      </c>
      <c r="J231" s="51">
        <v>36</v>
      </c>
      <c r="K231" s="51">
        <v>3</v>
      </c>
      <c r="L231" s="51">
        <v>3</v>
      </c>
      <c r="M231" s="51">
        <v>6</v>
      </c>
      <c r="N231" s="60"/>
    </row>
    <row r="232" spans="1:14" x14ac:dyDescent="0.25">
      <c r="A232" s="45">
        <v>938</v>
      </c>
      <c r="B232" s="45" t="s">
        <v>330</v>
      </c>
      <c r="C232" s="59">
        <v>42811</v>
      </c>
      <c r="D232" s="46" t="str">
        <f t="shared" si="6"/>
        <v>V</v>
      </c>
      <c r="E232" s="61">
        <f t="shared" si="7"/>
        <v>11</v>
      </c>
      <c r="F232" s="45" t="s">
        <v>76</v>
      </c>
      <c r="G232" s="51">
        <v>19</v>
      </c>
      <c r="H232" s="51">
        <v>29</v>
      </c>
      <c r="I232" s="51">
        <v>36</v>
      </c>
      <c r="J232" s="51">
        <v>6</v>
      </c>
      <c r="K232" s="51">
        <v>10</v>
      </c>
      <c r="L232" s="51">
        <v>9</v>
      </c>
      <c r="M232" s="51">
        <v>3</v>
      </c>
      <c r="N232" s="60" t="s">
        <v>331</v>
      </c>
    </row>
    <row r="233" spans="1:14" x14ac:dyDescent="0.25">
      <c r="A233" s="45">
        <v>939</v>
      </c>
      <c r="B233" s="45" t="s">
        <v>332</v>
      </c>
      <c r="C233" s="59">
        <v>42815</v>
      </c>
      <c r="D233" s="46" t="str">
        <f t="shared" si="6"/>
        <v>M</v>
      </c>
      <c r="E233" s="61">
        <f t="shared" si="7"/>
        <v>12</v>
      </c>
      <c r="F233" s="45" t="s">
        <v>76</v>
      </c>
      <c r="G233" s="51">
        <v>47</v>
      </c>
      <c r="H233" s="51">
        <v>23</v>
      </c>
      <c r="I233" s="51">
        <v>20</v>
      </c>
      <c r="J233" s="51">
        <v>44</v>
      </c>
      <c r="K233" s="51">
        <v>1</v>
      </c>
      <c r="L233" s="51">
        <v>11</v>
      </c>
      <c r="M233" s="51">
        <v>4</v>
      </c>
      <c r="N233" s="60"/>
    </row>
    <row r="234" spans="1:14" x14ac:dyDescent="0.25">
      <c r="A234" s="45">
        <v>940</v>
      </c>
      <c r="B234" s="45" t="s">
        <v>333</v>
      </c>
      <c r="C234" s="59">
        <v>42818</v>
      </c>
      <c r="D234" s="46" t="str">
        <f t="shared" si="6"/>
        <v>V</v>
      </c>
      <c r="E234" s="61">
        <f t="shared" si="7"/>
        <v>12</v>
      </c>
      <c r="F234" s="45" t="s">
        <v>76</v>
      </c>
      <c r="G234" s="51">
        <v>2</v>
      </c>
      <c r="H234" s="51">
        <v>21</v>
      </c>
      <c r="I234" s="51">
        <v>17</v>
      </c>
      <c r="J234" s="51">
        <v>27</v>
      </c>
      <c r="K234" s="51">
        <v>34</v>
      </c>
      <c r="L234" s="51">
        <v>5</v>
      </c>
      <c r="M234" s="51">
        <v>9</v>
      </c>
      <c r="N234" s="60" t="s">
        <v>334</v>
      </c>
    </row>
    <row r="235" spans="1:14" x14ac:dyDescent="0.25">
      <c r="A235" s="45">
        <v>941</v>
      </c>
      <c r="B235" s="45" t="s">
        <v>335</v>
      </c>
      <c r="C235" s="59">
        <v>42822</v>
      </c>
      <c r="D235" s="46" t="str">
        <f t="shared" si="6"/>
        <v>M</v>
      </c>
      <c r="E235" s="61">
        <f t="shared" si="7"/>
        <v>13</v>
      </c>
      <c r="F235" s="45" t="s">
        <v>76</v>
      </c>
      <c r="G235" s="51">
        <v>33</v>
      </c>
      <c r="H235" s="51">
        <v>13</v>
      </c>
      <c r="I235" s="51">
        <v>46</v>
      </c>
      <c r="J235" s="51">
        <v>9</v>
      </c>
      <c r="K235" s="51">
        <v>31</v>
      </c>
      <c r="L235" s="51">
        <v>6</v>
      </c>
      <c r="M235" s="51">
        <v>10</v>
      </c>
      <c r="N235" s="60"/>
    </row>
    <row r="236" spans="1:14" x14ac:dyDescent="0.25">
      <c r="A236" s="45">
        <v>942</v>
      </c>
      <c r="B236" s="45" t="s">
        <v>336</v>
      </c>
      <c r="C236" s="59">
        <v>42825</v>
      </c>
      <c r="D236" s="46" t="str">
        <f t="shared" si="6"/>
        <v>V</v>
      </c>
      <c r="E236" s="61">
        <f t="shared" si="7"/>
        <v>13</v>
      </c>
      <c r="F236" s="45" t="s">
        <v>76</v>
      </c>
      <c r="G236" s="51">
        <v>24</v>
      </c>
      <c r="H236" s="51">
        <v>26</v>
      </c>
      <c r="I236" s="51">
        <v>45</v>
      </c>
      <c r="J236" s="51">
        <v>17</v>
      </c>
      <c r="K236" s="51">
        <v>28</v>
      </c>
      <c r="L236" s="51">
        <v>4</v>
      </c>
      <c r="M236" s="51">
        <v>12</v>
      </c>
      <c r="N236" s="60" t="s">
        <v>337</v>
      </c>
    </row>
    <row r="237" spans="1:14" x14ac:dyDescent="0.25">
      <c r="A237" s="45">
        <v>943</v>
      </c>
      <c r="B237" s="45" t="s">
        <v>338</v>
      </c>
      <c r="C237" s="59">
        <v>42829</v>
      </c>
      <c r="D237" s="46" t="str">
        <f t="shared" si="6"/>
        <v>M</v>
      </c>
      <c r="E237" s="61">
        <f t="shared" si="7"/>
        <v>14</v>
      </c>
      <c r="F237" s="45" t="s">
        <v>76</v>
      </c>
      <c r="G237" s="51">
        <v>24</v>
      </c>
      <c r="H237" s="51">
        <v>33</v>
      </c>
      <c r="I237" s="51">
        <v>9</v>
      </c>
      <c r="J237" s="51">
        <v>1</v>
      </c>
      <c r="K237" s="51">
        <v>34</v>
      </c>
      <c r="L237" s="51">
        <v>2</v>
      </c>
      <c r="M237" s="51">
        <v>6</v>
      </c>
      <c r="N237" s="60"/>
    </row>
    <row r="238" spans="1:14" x14ac:dyDescent="0.25">
      <c r="A238" s="45">
        <v>944</v>
      </c>
      <c r="B238" s="45" t="s">
        <v>339</v>
      </c>
      <c r="C238" s="59">
        <v>42832</v>
      </c>
      <c r="D238" s="46" t="str">
        <f t="shared" si="6"/>
        <v>V</v>
      </c>
      <c r="E238" s="61">
        <f t="shared" si="7"/>
        <v>14</v>
      </c>
      <c r="F238" s="45" t="s">
        <v>76</v>
      </c>
      <c r="G238" s="51">
        <v>35</v>
      </c>
      <c r="H238" s="51">
        <v>10</v>
      </c>
      <c r="I238" s="51">
        <v>2</v>
      </c>
      <c r="J238" s="51">
        <v>50</v>
      </c>
      <c r="K238" s="51">
        <v>19</v>
      </c>
      <c r="L238" s="51">
        <v>7</v>
      </c>
      <c r="M238" s="51">
        <v>6</v>
      </c>
      <c r="N238" s="60" t="s">
        <v>340</v>
      </c>
    </row>
    <row r="239" spans="1:14" x14ac:dyDescent="0.25">
      <c r="A239" s="45">
        <v>945</v>
      </c>
      <c r="B239" s="45" t="s">
        <v>341</v>
      </c>
      <c r="C239" s="59">
        <v>42836</v>
      </c>
      <c r="D239" s="46" t="str">
        <f t="shared" si="6"/>
        <v>M</v>
      </c>
      <c r="E239" s="61">
        <f t="shared" si="7"/>
        <v>15</v>
      </c>
      <c r="F239" s="45" t="s">
        <v>76</v>
      </c>
      <c r="G239" s="51">
        <v>22</v>
      </c>
      <c r="H239" s="51">
        <v>5</v>
      </c>
      <c r="I239" s="51">
        <v>31</v>
      </c>
      <c r="J239" s="51">
        <v>49</v>
      </c>
      <c r="K239" s="51">
        <v>21</v>
      </c>
      <c r="L239" s="51">
        <v>8</v>
      </c>
      <c r="M239" s="51">
        <v>2</v>
      </c>
      <c r="N239" s="60"/>
    </row>
    <row r="240" spans="1:14" x14ac:dyDescent="0.25">
      <c r="A240" s="45">
        <v>946</v>
      </c>
      <c r="B240" s="45" t="s">
        <v>342</v>
      </c>
      <c r="C240" s="59">
        <v>42839</v>
      </c>
      <c r="D240" s="46" t="str">
        <f t="shared" si="6"/>
        <v>V</v>
      </c>
      <c r="E240" s="61">
        <f t="shared" si="7"/>
        <v>15</v>
      </c>
      <c r="F240" s="45" t="s">
        <v>76</v>
      </c>
      <c r="G240" s="51">
        <v>33</v>
      </c>
      <c r="H240" s="51">
        <v>20</v>
      </c>
      <c r="I240" s="51">
        <v>4</v>
      </c>
      <c r="J240" s="51">
        <v>14</v>
      </c>
      <c r="K240" s="51">
        <v>23</v>
      </c>
      <c r="L240" s="51">
        <v>6</v>
      </c>
      <c r="M240" s="51">
        <v>10</v>
      </c>
      <c r="N240" s="60" t="s">
        <v>343</v>
      </c>
    </row>
    <row r="241" spans="1:14" x14ac:dyDescent="0.25">
      <c r="A241" s="45">
        <v>947</v>
      </c>
      <c r="B241" s="45" t="s">
        <v>344</v>
      </c>
      <c r="C241" s="59">
        <v>42843</v>
      </c>
      <c r="D241" s="46" t="str">
        <f t="shared" si="6"/>
        <v>M</v>
      </c>
      <c r="E241" s="61">
        <f t="shared" si="7"/>
        <v>16</v>
      </c>
      <c r="F241" s="45" t="s">
        <v>76</v>
      </c>
      <c r="G241" s="51">
        <v>22</v>
      </c>
      <c r="H241" s="51">
        <v>17</v>
      </c>
      <c r="I241" s="51">
        <v>45</v>
      </c>
      <c r="J241" s="51">
        <v>38</v>
      </c>
      <c r="K241" s="51">
        <v>31</v>
      </c>
      <c r="L241" s="51">
        <v>12</v>
      </c>
      <c r="M241" s="51">
        <v>5</v>
      </c>
      <c r="N241" s="60"/>
    </row>
    <row r="242" spans="1:14" x14ac:dyDescent="0.25">
      <c r="A242" s="45">
        <v>948</v>
      </c>
      <c r="B242" s="45" t="s">
        <v>345</v>
      </c>
      <c r="C242" s="59">
        <v>42846</v>
      </c>
      <c r="D242" s="46" t="str">
        <f t="shared" si="6"/>
        <v>V</v>
      </c>
      <c r="E242" s="61">
        <f t="shared" si="7"/>
        <v>16</v>
      </c>
      <c r="F242" s="45" t="s">
        <v>76</v>
      </c>
      <c r="G242" s="51">
        <v>2</v>
      </c>
      <c r="H242" s="51">
        <v>13</v>
      </c>
      <c r="I242" s="51">
        <v>22</v>
      </c>
      <c r="J242" s="51">
        <v>49</v>
      </c>
      <c r="K242" s="51">
        <v>16</v>
      </c>
      <c r="L242" s="51">
        <v>4</v>
      </c>
      <c r="M242" s="51">
        <v>5</v>
      </c>
      <c r="N242" s="60" t="s">
        <v>346</v>
      </c>
    </row>
    <row r="243" spans="1:14" x14ac:dyDescent="0.25">
      <c r="A243" s="45">
        <v>949</v>
      </c>
      <c r="B243" s="45" t="s">
        <v>347</v>
      </c>
      <c r="C243" s="59">
        <v>42850</v>
      </c>
      <c r="D243" s="46" t="str">
        <f t="shared" si="6"/>
        <v>M</v>
      </c>
      <c r="E243" s="61">
        <f t="shared" si="7"/>
        <v>17</v>
      </c>
      <c r="F243" s="45" t="s">
        <v>76</v>
      </c>
      <c r="G243" s="51">
        <v>11</v>
      </c>
      <c r="H243" s="51">
        <v>9</v>
      </c>
      <c r="I243" s="51">
        <v>32</v>
      </c>
      <c r="J243" s="51">
        <v>19</v>
      </c>
      <c r="K243" s="51">
        <v>43</v>
      </c>
      <c r="L243" s="51">
        <v>3</v>
      </c>
      <c r="M243" s="51">
        <v>9</v>
      </c>
      <c r="N243" s="60"/>
    </row>
    <row r="244" spans="1:14" x14ac:dyDescent="0.25">
      <c r="A244" s="45">
        <v>950</v>
      </c>
      <c r="B244" s="45" t="s">
        <v>348</v>
      </c>
      <c r="C244" s="59">
        <v>42853</v>
      </c>
      <c r="D244" s="46" t="str">
        <f t="shared" si="6"/>
        <v>V</v>
      </c>
      <c r="E244" s="61">
        <f t="shared" si="7"/>
        <v>17</v>
      </c>
      <c r="F244" s="45" t="s">
        <v>76</v>
      </c>
      <c r="G244" s="51">
        <v>20</v>
      </c>
      <c r="H244" s="51">
        <v>25</v>
      </c>
      <c r="I244" s="51">
        <v>30</v>
      </c>
      <c r="J244" s="51">
        <v>39</v>
      </c>
      <c r="K244" s="51">
        <v>14</v>
      </c>
      <c r="L244" s="51">
        <v>8</v>
      </c>
      <c r="M244" s="51">
        <v>2</v>
      </c>
      <c r="N244" s="60" t="s">
        <v>349</v>
      </c>
    </row>
    <row r="245" spans="1:14" x14ac:dyDescent="0.25">
      <c r="A245" s="45">
        <v>951</v>
      </c>
      <c r="B245" s="45" t="s">
        <v>350</v>
      </c>
      <c r="C245" s="59">
        <v>42857</v>
      </c>
      <c r="D245" s="46" t="str">
        <f t="shared" si="6"/>
        <v>M</v>
      </c>
      <c r="E245" s="61">
        <f t="shared" si="7"/>
        <v>18</v>
      </c>
      <c r="F245" s="45" t="s">
        <v>76</v>
      </c>
      <c r="G245" s="51">
        <v>27</v>
      </c>
      <c r="H245" s="51">
        <v>25</v>
      </c>
      <c r="I245" s="51">
        <v>19</v>
      </c>
      <c r="J245" s="51">
        <v>6</v>
      </c>
      <c r="K245" s="51">
        <v>23</v>
      </c>
      <c r="L245" s="51">
        <v>12</v>
      </c>
      <c r="M245" s="51">
        <v>11</v>
      </c>
      <c r="N245" s="60"/>
    </row>
    <row r="246" spans="1:14" x14ac:dyDescent="0.25">
      <c r="A246" s="45">
        <v>952</v>
      </c>
      <c r="B246" s="45" t="s">
        <v>351</v>
      </c>
      <c r="C246" s="59">
        <v>42860</v>
      </c>
      <c r="D246" s="46" t="str">
        <f t="shared" si="6"/>
        <v>V</v>
      </c>
      <c r="E246" s="61">
        <f t="shared" si="7"/>
        <v>18</v>
      </c>
      <c r="F246" s="45" t="s">
        <v>76</v>
      </c>
      <c r="G246" s="51">
        <v>7</v>
      </c>
      <c r="H246" s="51">
        <v>43</v>
      </c>
      <c r="I246" s="51">
        <v>30</v>
      </c>
      <c r="J246" s="51">
        <v>3</v>
      </c>
      <c r="K246" s="51">
        <v>35</v>
      </c>
      <c r="L246" s="51">
        <v>1</v>
      </c>
      <c r="M246" s="51">
        <v>3</v>
      </c>
      <c r="N246" s="60" t="s">
        <v>352</v>
      </c>
    </row>
    <row r="247" spans="1:14" x14ac:dyDescent="0.25">
      <c r="A247" s="45">
        <v>953</v>
      </c>
      <c r="B247" s="45" t="s">
        <v>353</v>
      </c>
      <c r="C247" s="59">
        <v>42864</v>
      </c>
      <c r="D247" s="46" t="str">
        <f t="shared" si="6"/>
        <v>M</v>
      </c>
      <c r="E247" s="61">
        <f t="shared" si="7"/>
        <v>19</v>
      </c>
      <c r="F247" s="45" t="s">
        <v>76</v>
      </c>
      <c r="G247" s="51">
        <v>26</v>
      </c>
      <c r="H247" s="51">
        <v>22</v>
      </c>
      <c r="I247" s="51">
        <v>16</v>
      </c>
      <c r="J247" s="51">
        <v>12</v>
      </c>
      <c r="K247" s="51">
        <v>8</v>
      </c>
      <c r="L247" s="51">
        <v>7</v>
      </c>
      <c r="M247" s="51">
        <v>6</v>
      </c>
      <c r="N247" s="60"/>
    </row>
    <row r="248" spans="1:14" x14ac:dyDescent="0.25">
      <c r="A248" s="45">
        <v>954</v>
      </c>
      <c r="B248" s="45" t="s">
        <v>354</v>
      </c>
      <c r="C248" s="59">
        <v>42867</v>
      </c>
      <c r="D248" s="46" t="str">
        <f t="shared" si="6"/>
        <v>V</v>
      </c>
      <c r="E248" s="61">
        <f t="shared" si="7"/>
        <v>19</v>
      </c>
      <c r="F248" s="45" t="s">
        <v>76</v>
      </c>
      <c r="G248" s="51">
        <v>2</v>
      </c>
      <c r="H248" s="51">
        <v>28</v>
      </c>
      <c r="I248" s="51">
        <v>29</v>
      </c>
      <c r="J248" s="51">
        <v>44</v>
      </c>
      <c r="K248" s="51">
        <v>20</v>
      </c>
      <c r="L248" s="51">
        <v>3</v>
      </c>
      <c r="M248" s="51">
        <v>9</v>
      </c>
      <c r="N248" s="60" t="s">
        <v>355</v>
      </c>
    </row>
    <row r="249" spans="1:14" x14ac:dyDescent="0.25">
      <c r="A249" s="45">
        <v>955</v>
      </c>
      <c r="B249" s="45" t="s">
        <v>356</v>
      </c>
      <c r="C249" s="59">
        <v>42871</v>
      </c>
      <c r="D249" s="46" t="str">
        <f t="shared" si="6"/>
        <v>M</v>
      </c>
      <c r="E249" s="61">
        <f t="shared" si="7"/>
        <v>20</v>
      </c>
      <c r="F249" s="45" t="s">
        <v>76</v>
      </c>
      <c r="G249" s="51">
        <v>20</v>
      </c>
      <c r="H249" s="51">
        <v>8</v>
      </c>
      <c r="I249" s="51">
        <v>30</v>
      </c>
      <c r="J249" s="51">
        <v>11</v>
      </c>
      <c r="K249" s="51">
        <v>15</v>
      </c>
      <c r="L249" s="51">
        <v>3</v>
      </c>
      <c r="M249" s="51">
        <v>8</v>
      </c>
      <c r="N249" s="60"/>
    </row>
    <row r="250" spans="1:14" x14ac:dyDescent="0.25">
      <c r="A250" s="45">
        <v>956</v>
      </c>
      <c r="B250" s="45" t="s">
        <v>357</v>
      </c>
      <c r="C250" s="59">
        <v>42874</v>
      </c>
      <c r="D250" s="46" t="str">
        <f t="shared" si="6"/>
        <v>V</v>
      </c>
      <c r="E250" s="61">
        <f t="shared" si="7"/>
        <v>20</v>
      </c>
      <c r="F250" s="45" t="s">
        <v>76</v>
      </c>
      <c r="G250" s="51">
        <v>30</v>
      </c>
      <c r="H250" s="51">
        <v>12</v>
      </c>
      <c r="I250" s="51">
        <v>9</v>
      </c>
      <c r="J250" s="51">
        <v>19</v>
      </c>
      <c r="K250" s="51">
        <v>11</v>
      </c>
      <c r="L250" s="51">
        <v>9</v>
      </c>
      <c r="M250" s="51">
        <v>4</v>
      </c>
      <c r="N250" s="60" t="s">
        <v>358</v>
      </c>
    </row>
    <row r="251" spans="1:14" x14ac:dyDescent="0.25">
      <c r="A251" s="45">
        <v>957</v>
      </c>
      <c r="B251" s="45" t="s">
        <v>359</v>
      </c>
      <c r="C251" s="59">
        <v>42878</v>
      </c>
      <c r="D251" s="46" t="str">
        <f t="shared" si="6"/>
        <v>M</v>
      </c>
      <c r="E251" s="61">
        <f t="shared" si="7"/>
        <v>21</v>
      </c>
      <c r="F251" s="45" t="s">
        <v>76</v>
      </c>
      <c r="G251" s="51">
        <v>15</v>
      </c>
      <c r="H251" s="51">
        <v>8</v>
      </c>
      <c r="I251" s="51">
        <v>42</v>
      </c>
      <c r="J251" s="51">
        <v>25</v>
      </c>
      <c r="K251" s="51">
        <v>27</v>
      </c>
      <c r="L251" s="51">
        <v>1</v>
      </c>
      <c r="M251" s="51">
        <v>4</v>
      </c>
      <c r="N251" s="60"/>
    </row>
    <row r="252" spans="1:14" x14ac:dyDescent="0.25">
      <c r="A252" s="45">
        <v>958</v>
      </c>
      <c r="B252" s="45" t="s">
        <v>360</v>
      </c>
      <c r="C252" s="59">
        <v>42881</v>
      </c>
      <c r="D252" s="46" t="str">
        <f t="shared" si="6"/>
        <v>V</v>
      </c>
      <c r="E252" s="61">
        <f t="shared" si="7"/>
        <v>21</v>
      </c>
      <c r="F252" s="45" t="s">
        <v>76</v>
      </c>
      <c r="G252" s="51">
        <v>36</v>
      </c>
      <c r="H252" s="51">
        <v>5</v>
      </c>
      <c r="I252" s="51">
        <v>39</v>
      </c>
      <c r="J252" s="51">
        <v>7</v>
      </c>
      <c r="K252" s="51">
        <v>26</v>
      </c>
      <c r="L252" s="51">
        <v>2</v>
      </c>
      <c r="M252" s="51">
        <v>10</v>
      </c>
      <c r="N252" s="60" t="s">
        <v>322</v>
      </c>
    </row>
    <row r="253" spans="1:14" x14ac:dyDescent="0.25">
      <c r="A253" s="45">
        <v>959</v>
      </c>
      <c r="B253" s="45" t="s">
        <v>361</v>
      </c>
      <c r="C253" s="59">
        <v>42885</v>
      </c>
      <c r="D253" s="46" t="str">
        <f t="shared" si="6"/>
        <v>M</v>
      </c>
      <c r="E253" s="61">
        <f t="shared" si="7"/>
        <v>22</v>
      </c>
      <c r="F253" s="45" t="s">
        <v>76</v>
      </c>
      <c r="G253" s="51">
        <v>27</v>
      </c>
      <c r="H253" s="51">
        <v>48</v>
      </c>
      <c r="I253" s="51">
        <v>38</v>
      </c>
      <c r="J253" s="51">
        <v>12</v>
      </c>
      <c r="K253" s="51">
        <v>7</v>
      </c>
      <c r="L253" s="51">
        <v>9</v>
      </c>
      <c r="M253" s="51">
        <v>6</v>
      </c>
      <c r="N253" s="60"/>
    </row>
    <row r="254" spans="1:14" x14ac:dyDescent="0.25">
      <c r="A254" s="45">
        <v>960</v>
      </c>
      <c r="B254" s="45" t="s">
        <v>362</v>
      </c>
      <c r="C254" s="59">
        <v>42888</v>
      </c>
      <c r="D254" s="46" t="str">
        <f t="shared" si="6"/>
        <v>V</v>
      </c>
      <c r="E254" s="61">
        <f t="shared" si="7"/>
        <v>22</v>
      </c>
      <c r="F254" s="45" t="s">
        <v>76</v>
      </c>
      <c r="G254" s="51">
        <v>8</v>
      </c>
      <c r="H254" s="51">
        <v>42</v>
      </c>
      <c r="I254" s="51">
        <v>33</v>
      </c>
      <c r="J254" s="51">
        <v>24</v>
      </c>
      <c r="K254" s="51">
        <v>10</v>
      </c>
      <c r="L254" s="51">
        <v>9</v>
      </c>
      <c r="M254" s="51">
        <v>3</v>
      </c>
      <c r="N254" s="60" t="s">
        <v>363</v>
      </c>
    </row>
    <row r="255" spans="1:14" x14ac:dyDescent="0.25">
      <c r="A255" s="45">
        <v>961</v>
      </c>
      <c r="B255" s="45" t="s">
        <v>364</v>
      </c>
      <c r="C255" s="59">
        <v>42892</v>
      </c>
      <c r="D255" s="46" t="str">
        <f t="shared" si="6"/>
        <v>M</v>
      </c>
      <c r="E255" s="61">
        <f t="shared" si="7"/>
        <v>23</v>
      </c>
      <c r="F255" s="45" t="s">
        <v>76</v>
      </c>
      <c r="G255" s="51">
        <v>25</v>
      </c>
      <c r="H255" s="51">
        <v>40</v>
      </c>
      <c r="I255" s="51">
        <v>20</v>
      </c>
      <c r="J255" s="51">
        <v>22</v>
      </c>
      <c r="K255" s="51">
        <v>37</v>
      </c>
      <c r="L255" s="51">
        <v>7</v>
      </c>
      <c r="M255" s="51">
        <v>3</v>
      </c>
      <c r="N255" s="60"/>
    </row>
    <row r="256" spans="1:14" x14ac:dyDescent="0.25">
      <c r="A256" s="45">
        <v>962</v>
      </c>
      <c r="B256" s="45" t="s">
        <v>365</v>
      </c>
      <c r="C256" s="59">
        <v>42895</v>
      </c>
      <c r="D256" s="46" t="str">
        <f t="shared" si="6"/>
        <v>V</v>
      </c>
      <c r="E256" s="61">
        <f t="shared" si="7"/>
        <v>23</v>
      </c>
      <c r="F256" s="45" t="s">
        <v>76</v>
      </c>
      <c r="G256" s="51">
        <v>9</v>
      </c>
      <c r="H256" s="51">
        <v>20</v>
      </c>
      <c r="I256" s="51">
        <v>27</v>
      </c>
      <c r="J256" s="51">
        <v>39</v>
      </c>
      <c r="K256" s="51">
        <v>43</v>
      </c>
      <c r="L256" s="51">
        <v>10</v>
      </c>
      <c r="M256" s="51">
        <v>11</v>
      </c>
      <c r="N256" s="60" t="s">
        <v>366</v>
      </c>
    </row>
    <row r="257" spans="1:14" x14ac:dyDescent="0.25">
      <c r="A257" s="45">
        <v>963</v>
      </c>
      <c r="B257" s="45" t="s">
        <v>367</v>
      </c>
      <c r="C257" s="59">
        <v>42899</v>
      </c>
      <c r="D257" s="46" t="str">
        <f t="shared" si="6"/>
        <v>M</v>
      </c>
      <c r="E257" s="61">
        <f t="shared" si="7"/>
        <v>24</v>
      </c>
      <c r="F257" s="45" t="s">
        <v>76</v>
      </c>
      <c r="G257" s="51">
        <v>12</v>
      </c>
      <c r="H257" s="51">
        <v>3</v>
      </c>
      <c r="I257" s="51">
        <v>22</v>
      </c>
      <c r="J257" s="51">
        <v>27</v>
      </c>
      <c r="K257" s="51">
        <v>49</v>
      </c>
      <c r="L257" s="51">
        <v>11</v>
      </c>
      <c r="M257" s="51">
        <v>4</v>
      </c>
      <c r="N257" s="60"/>
    </row>
    <row r="258" spans="1:14" x14ac:dyDescent="0.25">
      <c r="A258" s="45">
        <v>964</v>
      </c>
      <c r="B258" s="45" t="s">
        <v>368</v>
      </c>
      <c r="C258" s="59">
        <v>42902</v>
      </c>
      <c r="D258" s="46" t="str">
        <f t="shared" ref="D258:D321" si="8">CHOOSE(WEEKDAY(C258),"D","L","M","X","J","V","S")</f>
        <v>V</v>
      </c>
      <c r="E258" s="61">
        <f t="shared" ref="E258:E321" si="9">WEEKNUM(C258,21)</f>
        <v>24</v>
      </c>
      <c r="F258" s="45" t="s">
        <v>76</v>
      </c>
      <c r="G258" s="51">
        <v>38</v>
      </c>
      <c r="H258" s="51">
        <v>42</v>
      </c>
      <c r="I258" s="51">
        <v>15</v>
      </c>
      <c r="J258" s="51">
        <v>17</v>
      </c>
      <c r="K258" s="51">
        <v>41</v>
      </c>
      <c r="L258" s="51">
        <v>9</v>
      </c>
      <c r="M258" s="51">
        <v>12</v>
      </c>
      <c r="N258" s="60" t="s">
        <v>369</v>
      </c>
    </row>
    <row r="259" spans="1:14" x14ac:dyDescent="0.25">
      <c r="A259" s="45">
        <v>965</v>
      </c>
      <c r="B259" s="45" t="s">
        <v>370</v>
      </c>
      <c r="C259" s="59">
        <v>42906</v>
      </c>
      <c r="D259" s="46" t="str">
        <f t="shared" si="8"/>
        <v>M</v>
      </c>
      <c r="E259" s="61">
        <f t="shared" si="9"/>
        <v>25</v>
      </c>
      <c r="F259" s="45" t="s">
        <v>76</v>
      </c>
      <c r="G259" s="51">
        <v>44</v>
      </c>
      <c r="H259" s="51">
        <v>43</v>
      </c>
      <c r="I259" s="51">
        <v>11</v>
      </c>
      <c r="J259" s="51">
        <v>18</v>
      </c>
      <c r="K259" s="51">
        <v>26</v>
      </c>
      <c r="L259" s="51">
        <v>8</v>
      </c>
      <c r="M259" s="51">
        <v>10</v>
      </c>
      <c r="N259" s="60"/>
    </row>
    <row r="260" spans="1:14" x14ac:dyDescent="0.25">
      <c r="A260" s="45">
        <v>966</v>
      </c>
      <c r="B260" s="45" t="s">
        <v>371</v>
      </c>
      <c r="C260" s="59">
        <v>42909</v>
      </c>
      <c r="D260" s="46" t="str">
        <f t="shared" si="8"/>
        <v>V</v>
      </c>
      <c r="E260" s="61">
        <f t="shared" si="9"/>
        <v>25</v>
      </c>
      <c r="F260" s="45" t="s">
        <v>76</v>
      </c>
      <c r="G260" s="51">
        <v>4</v>
      </c>
      <c r="H260" s="51">
        <v>31</v>
      </c>
      <c r="I260" s="51">
        <v>21</v>
      </c>
      <c r="J260" s="51">
        <v>3</v>
      </c>
      <c r="K260" s="51">
        <v>38</v>
      </c>
      <c r="L260" s="51">
        <v>3</v>
      </c>
      <c r="M260" s="51">
        <v>7</v>
      </c>
      <c r="N260" s="60" t="s">
        <v>372</v>
      </c>
    </row>
    <row r="261" spans="1:14" x14ac:dyDescent="0.25">
      <c r="A261" s="45">
        <v>967</v>
      </c>
      <c r="B261" s="45" t="s">
        <v>373</v>
      </c>
      <c r="C261" s="59">
        <v>42913</v>
      </c>
      <c r="D261" s="46" t="str">
        <f t="shared" si="8"/>
        <v>M</v>
      </c>
      <c r="E261" s="61">
        <f t="shared" si="9"/>
        <v>26</v>
      </c>
      <c r="F261" s="45" t="s">
        <v>76</v>
      </c>
      <c r="G261" s="51">
        <v>45</v>
      </c>
      <c r="H261" s="51">
        <v>17</v>
      </c>
      <c r="I261" s="51">
        <v>21</v>
      </c>
      <c r="J261" s="51">
        <v>9</v>
      </c>
      <c r="K261" s="51">
        <v>28</v>
      </c>
      <c r="L261" s="51">
        <v>1</v>
      </c>
      <c r="M261" s="51">
        <v>3</v>
      </c>
      <c r="N261" s="60"/>
    </row>
    <row r="262" spans="1:14" x14ac:dyDescent="0.25">
      <c r="A262" s="45">
        <v>968</v>
      </c>
      <c r="B262" s="45" t="s">
        <v>374</v>
      </c>
      <c r="C262" s="59">
        <v>42916</v>
      </c>
      <c r="D262" s="46" t="str">
        <f t="shared" si="8"/>
        <v>V</v>
      </c>
      <c r="E262" s="61">
        <f t="shared" si="9"/>
        <v>26</v>
      </c>
      <c r="F262" s="45" t="s">
        <v>76</v>
      </c>
      <c r="G262" s="51">
        <v>35</v>
      </c>
      <c r="H262" s="51">
        <v>50</v>
      </c>
      <c r="I262" s="51">
        <v>39</v>
      </c>
      <c r="J262" s="51">
        <v>17</v>
      </c>
      <c r="K262" s="51">
        <v>47</v>
      </c>
      <c r="L262" s="51">
        <v>6</v>
      </c>
      <c r="M262" s="51">
        <v>8</v>
      </c>
      <c r="N262" s="60" t="s">
        <v>375</v>
      </c>
    </row>
    <row r="263" spans="1:14" x14ac:dyDescent="0.25">
      <c r="A263" s="45">
        <v>969</v>
      </c>
      <c r="B263" s="45" t="s">
        <v>376</v>
      </c>
      <c r="C263" s="59">
        <v>42920</v>
      </c>
      <c r="D263" s="46" t="str">
        <f t="shared" si="8"/>
        <v>M</v>
      </c>
      <c r="E263" s="61">
        <f t="shared" si="9"/>
        <v>27</v>
      </c>
      <c r="F263" s="45" t="s">
        <v>76</v>
      </c>
      <c r="G263" s="51">
        <v>22</v>
      </c>
      <c r="H263" s="51">
        <v>25</v>
      </c>
      <c r="I263" s="51">
        <v>10</v>
      </c>
      <c r="J263" s="51">
        <v>37</v>
      </c>
      <c r="K263" s="51">
        <v>49</v>
      </c>
      <c r="L263" s="51">
        <v>8</v>
      </c>
      <c r="M263" s="51">
        <v>5</v>
      </c>
      <c r="N263" s="60"/>
    </row>
    <row r="264" spans="1:14" x14ac:dyDescent="0.25">
      <c r="A264" s="45">
        <v>970</v>
      </c>
      <c r="B264" s="45" t="s">
        <v>377</v>
      </c>
      <c r="C264" s="59">
        <v>42923</v>
      </c>
      <c r="D264" s="46" t="str">
        <f t="shared" si="8"/>
        <v>V</v>
      </c>
      <c r="E264" s="61">
        <f t="shared" si="9"/>
        <v>27</v>
      </c>
      <c r="F264" s="45" t="s">
        <v>76</v>
      </c>
      <c r="G264" s="51">
        <v>45</v>
      </c>
      <c r="H264" s="51">
        <v>37</v>
      </c>
      <c r="I264" s="51">
        <v>20</v>
      </c>
      <c r="J264" s="51">
        <v>35</v>
      </c>
      <c r="K264" s="51">
        <v>11</v>
      </c>
      <c r="L264" s="51">
        <v>3</v>
      </c>
      <c r="M264" s="51">
        <v>6</v>
      </c>
      <c r="N264" s="60" t="s">
        <v>378</v>
      </c>
    </row>
    <row r="265" spans="1:14" x14ac:dyDescent="0.25">
      <c r="A265" s="45">
        <v>971</v>
      </c>
      <c r="B265" s="45" t="s">
        <v>379</v>
      </c>
      <c r="C265" s="59">
        <v>42927</v>
      </c>
      <c r="D265" s="46" t="str">
        <f t="shared" si="8"/>
        <v>M</v>
      </c>
      <c r="E265" s="61">
        <f t="shared" si="9"/>
        <v>28</v>
      </c>
      <c r="F265" s="45" t="s">
        <v>76</v>
      </c>
      <c r="G265" s="51">
        <v>50</v>
      </c>
      <c r="H265" s="51">
        <v>26</v>
      </c>
      <c r="I265" s="51">
        <v>42</v>
      </c>
      <c r="J265" s="51">
        <v>22</v>
      </c>
      <c r="K265" s="51">
        <v>14</v>
      </c>
      <c r="L265" s="51">
        <v>8</v>
      </c>
      <c r="M265" s="51">
        <v>10</v>
      </c>
      <c r="N265" s="60"/>
    </row>
    <row r="266" spans="1:14" x14ac:dyDescent="0.25">
      <c r="A266" s="45">
        <v>972</v>
      </c>
      <c r="B266" s="45" t="s">
        <v>380</v>
      </c>
      <c r="C266" s="59">
        <v>42930</v>
      </c>
      <c r="D266" s="46" t="str">
        <f t="shared" si="8"/>
        <v>V</v>
      </c>
      <c r="E266" s="61">
        <f t="shared" si="9"/>
        <v>28</v>
      </c>
      <c r="F266" s="45" t="s">
        <v>76</v>
      </c>
      <c r="G266" s="51">
        <v>21</v>
      </c>
      <c r="H266" s="51">
        <v>14</v>
      </c>
      <c r="I266" s="51">
        <v>20</v>
      </c>
      <c r="J266" s="51">
        <v>47</v>
      </c>
      <c r="K266" s="51">
        <v>11</v>
      </c>
      <c r="L266" s="51">
        <v>10</v>
      </c>
      <c r="M266" s="51">
        <v>7</v>
      </c>
      <c r="N266" s="60" t="s">
        <v>381</v>
      </c>
    </row>
    <row r="267" spans="1:14" x14ac:dyDescent="0.25">
      <c r="A267" s="45">
        <v>973</v>
      </c>
      <c r="B267" s="45" t="s">
        <v>382</v>
      </c>
      <c r="C267" s="59">
        <v>42934</v>
      </c>
      <c r="D267" s="46" t="str">
        <f t="shared" si="8"/>
        <v>M</v>
      </c>
      <c r="E267" s="61">
        <f t="shared" si="9"/>
        <v>29</v>
      </c>
      <c r="F267" s="45" t="s">
        <v>76</v>
      </c>
      <c r="G267" s="51">
        <v>41</v>
      </c>
      <c r="H267" s="51">
        <v>27</v>
      </c>
      <c r="I267" s="51">
        <v>1</v>
      </c>
      <c r="J267" s="51">
        <v>45</v>
      </c>
      <c r="K267" s="51">
        <v>25</v>
      </c>
      <c r="L267" s="51">
        <v>7</v>
      </c>
      <c r="M267" s="51">
        <v>5</v>
      </c>
      <c r="N267" s="60"/>
    </row>
    <row r="268" spans="1:14" x14ac:dyDescent="0.25">
      <c r="A268" s="45">
        <v>974</v>
      </c>
      <c r="B268" s="45" t="s">
        <v>383</v>
      </c>
      <c r="C268" s="59">
        <v>42937</v>
      </c>
      <c r="D268" s="46" t="str">
        <f t="shared" si="8"/>
        <v>V</v>
      </c>
      <c r="E268" s="61">
        <f t="shared" si="9"/>
        <v>29</v>
      </c>
      <c r="F268" s="45" t="s">
        <v>76</v>
      </c>
      <c r="G268" s="51">
        <v>8</v>
      </c>
      <c r="H268" s="51">
        <v>1</v>
      </c>
      <c r="I268" s="51">
        <v>26</v>
      </c>
      <c r="J268" s="51">
        <v>49</v>
      </c>
      <c r="K268" s="51">
        <v>9</v>
      </c>
      <c r="L268" s="51">
        <v>9</v>
      </c>
      <c r="M268" s="51">
        <v>5</v>
      </c>
      <c r="N268" s="60" t="s">
        <v>384</v>
      </c>
    </row>
    <row r="269" spans="1:14" x14ac:dyDescent="0.25">
      <c r="A269" s="45">
        <v>975</v>
      </c>
      <c r="B269" s="45" t="s">
        <v>385</v>
      </c>
      <c r="C269" s="59">
        <v>42941</v>
      </c>
      <c r="D269" s="46" t="str">
        <f t="shared" si="8"/>
        <v>M</v>
      </c>
      <c r="E269" s="61">
        <f t="shared" si="9"/>
        <v>30</v>
      </c>
      <c r="F269" s="45" t="s">
        <v>76</v>
      </c>
      <c r="G269" s="51">
        <v>14</v>
      </c>
      <c r="H269" s="51">
        <v>44</v>
      </c>
      <c r="I269" s="51">
        <v>43</v>
      </c>
      <c r="J269" s="51">
        <v>48</v>
      </c>
      <c r="K269" s="51">
        <v>12</v>
      </c>
      <c r="L269" s="51">
        <v>11</v>
      </c>
      <c r="M269" s="51">
        <v>2</v>
      </c>
      <c r="N269" s="60"/>
    </row>
    <row r="270" spans="1:14" x14ac:dyDescent="0.25">
      <c r="A270" s="45">
        <v>976</v>
      </c>
      <c r="B270" s="45" t="s">
        <v>386</v>
      </c>
      <c r="C270" s="59">
        <v>42944</v>
      </c>
      <c r="D270" s="46" t="str">
        <f t="shared" si="8"/>
        <v>V</v>
      </c>
      <c r="E270" s="61">
        <f t="shared" si="9"/>
        <v>30</v>
      </c>
      <c r="F270" s="45" t="s">
        <v>76</v>
      </c>
      <c r="G270" s="51">
        <v>41</v>
      </c>
      <c r="H270" s="51">
        <v>9</v>
      </c>
      <c r="I270" s="51">
        <v>31</v>
      </c>
      <c r="J270" s="51">
        <v>5</v>
      </c>
      <c r="K270" s="51">
        <v>29</v>
      </c>
      <c r="L270" s="51">
        <v>4</v>
      </c>
      <c r="M270" s="51">
        <v>2</v>
      </c>
      <c r="N270" s="60" t="s">
        <v>387</v>
      </c>
    </row>
    <row r="271" spans="1:14" x14ac:dyDescent="0.25">
      <c r="A271" s="45">
        <v>977</v>
      </c>
      <c r="B271" s="45" t="s">
        <v>388</v>
      </c>
      <c r="C271" s="59">
        <v>42948</v>
      </c>
      <c r="D271" s="46" t="str">
        <f t="shared" si="8"/>
        <v>M</v>
      </c>
      <c r="E271" s="61">
        <f t="shared" si="9"/>
        <v>31</v>
      </c>
      <c r="F271" s="45" t="s">
        <v>76</v>
      </c>
      <c r="G271" s="51">
        <v>29</v>
      </c>
      <c r="H271" s="51">
        <v>24</v>
      </c>
      <c r="I271" s="51">
        <v>21</v>
      </c>
      <c r="J271" s="51">
        <v>30</v>
      </c>
      <c r="K271" s="51">
        <v>14</v>
      </c>
      <c r="L271" s="51">
        <v>10</v>
      </c>
      <c r="M271" s="51">
        <v>8</v>
      </c>
      <c r="N271" s="60"/>
    </row>
    <row r="272" spans="1:14" x14ac:dyDescent="0.25">
      <c r="A272" s="45">
        <v>978</v>
      </c>
      <c r="B272" s="45" t="s">
        <v>389</v>
      </c>
      <c r="C272" s="59">
        <v>42951</v>
      </c>
      <c r="D272" s="46" t="str">
        <f t="shared" si="8"/>
        <v>V</v>
      </c>
      <c r="E272" s="61">
        <f t="shared" si="9"/>
        <v>31</v>
      </c>
      <c r="F272" s="45" t="s">
        <v>76</v>
      </c>
      <c r="G272" s="51">
        <v>29</v>
      </c>
      <c r="H272" s="51">
        <v>30</v>
      </c>
      <c r="I272" s="51">
        <v>41</v>
      </c>
      <c r="J272" s="51">
        <v>40</v>
      </c>
      <c r="K272" s="51">
        <v>36</v>
      </c>
      <c r="L272" s="51">
        <v>9</v>
      </c>
      <c r="M272" s="51">
        <v>2</v>
      </c>
      <c r="N272" s="60" t="s">
        <v>390</v>
      </c>
    </row>
    <row r="273" spans="1:14" x14ac:dyDescent="0.25">
      <c r="A273" s="45">
        <v>979</v>
      </c>
      <c r="B273" s="45" t="s">
        <v>391</v>
      </c>
      <c r="C273" s="59">
        <v>42955</v>
      </c>
      <c r="D273" s="46" t="str">
        <f t="shared" si="8"/>
        <v>M</v>
      </c>
      <c r="E273" s="61">
        <f t="shared" si="9"/>
        <v>32</v>
      </c>
      <c r="F273" s="45" t="s">
        <v>76</v>
      </c>
      <c r="G273" s="51">
        <v>26</v>
      </c>
      <c r="H273" s="51">
        <v>15</v>
      </c>
      <c r="I273" s="51">
        <v>40</v>
      </c>
      <c r="J273" s="51">
        <v>25</v>
      </c>
      <c r="K273" s="51">
        <v>41</v>
      </c>
      <c r="L273" s="51">
        <v>4</v>
      </c>
      <c r="M273" s="51">
        <v>5</v>
      </c>
      <c r="N273" s="60"/>
    </row>
    <row r="274" spans="1:14" x14ac:dyDescent="0.25">
      <c r="A274" s="45">
        <v>980</v>
      </c>
      <c r="B274" s="45" t="s">
        <v>392</v>
      </c>
      <c r="C274" s="59">
        <v>42958</v>
      </c>
      <c r="D274" s="46" t="str">
        <f t="shared" si="8"/>
        <v>V</v>
      </c>
      <c r="E274" s="61">
        <f t="shared" si="9"/>
        <v>32</v>
      </c>
      <c r="F274" s="45" t="s">
        <v>76</v>
      </c>
      <c r="G274" s="51">
        <v>39</v>
      </c>
      <c r="H274" s="51">
        <v>48</v>
      </c>
      <c r="I274" s="51">
        <v>28</v>
      </c>
      <c r="J274" s="51">
        <v>46</v>
      </c>
      <c r="K274" s="51">
        <v>18</v>
      </c>
      <c r="L274" s="51">
        <v>12</v>
      </c>
      <c r="M274" s="51">
        <v>5</v>
      </c>
      <c r="N274" s="60" t="s">
        <v>393</v>
      </c>
    </row>
    <row r="275" spans="1:14" x14ac:dyDescent="0.25">
      <c r="A275" s="45">
        <v>981</v>
      </c>
      <c r="B275" s="45" t="s">
        <v>394</v>
      </c>
      <c r="C275" s="59">
        <v>42962</v>
      </c>
      <c r="D275" s="46" t="str">
        <f t="shared" si="8"/>
        <v>M</v>
      </c>
      <c r="E275" s="61">
        <f t="shared" si="9"/>
        <v>33</v>
      </c>
      <c r="F275" s="45" t="s">
        <v>76</v>
      </c>
      <c r="G275" s="51">
        <v>14</v>
      </c>
      <c r="H275" s="51">
        <v>30</v>
      </c>
      <c r="I275" s="51">
        <v>46</v>
      </c>
      <c r="J275" s="51">
        <v>10</v>
      </c>
      <c r="K275" s="51">
        <v>35</v>
      </c>
      <c r="L275" s="51">
        <v>4</v>
      </c>
      <c r="M275" s="51">
        <v>10</v>
      </c>
      <c r="N275" s="60"/>
    </row>
    <row r="276" spans="1:14" x14ac:dyDescent="0.25">
      <c r="A276" s="45">
        <v>982</v>
      </c>
      <c r="B276" s="45" t="s">
        <v>395</v>
      </c>
      <c r="C276" s="59">
        <v>42965</v>
      </c>
      <c r="D276" s="46" t="str">
        <f t="shared" si="8"/>
        <v>V</v>
      </c>
      <c r="E276" s="61">
        <f t="shared" si="9"/>
        <v>33</v>
      </c>
      <c r="F276" s="45" t="s">
        <v>76</v>
      </c>
      <c r="G276" s="51">
        <v>39</v>
      </c>
      <c r="H276" s="51">
        <v>42</v>
      </c>
      <c r="I276" s="51">
        <v>24</v>
      </c>
      <c r="J276" s="51">
        <v>45</v>
      </c>
      <c r="K276" s="51">
        <v>2</v>
      </c>
      <c r="L276" s="51">
        <v>2</v>
      </c>
      <c r="M276" s="51">
        <v>8</v>
      </c>
      <c r="N276" s="60" t="s">
        <v>396</v>
      </c>
    </row>
    <row r="277" spans="1:14" x14ac:dyDescent="0.25">
      <c r="A277" s="45">
        <v>983</v>
      </c>
      <c r="B277" s="45" t="s">
        <v>397</v>
      </c>
      <c r="C277" s="59">
        <v>42969</v>
      </c>
      <c r="D277" s="46" t="str">
        <f t="shared" si="8"/>
        <v>M</v>
      </c>
      <c r="E277" s="61">
        <f t="shared" si="9"/>
        <v>34</v>
      </c>
      <c r="F277" s="45" t="s">
        <v>76</v>
      </c>
      <c r="G277" s="51">
        <v>10</v>
      </c>
      <c r="H277" s="51">
        <v>12</v>
      </c>
      <c r="I277" s="51">
        <v>17</v>
      </c>
      <c r="J277" s="51">
        <v>3</v>
      </c>
      <c r="K277" s="51">
        <v>27</v>
      </c>
      <c r="L277" s="51">
        <v>3</v>
      </c>
      <c r="M277" s="51">
        <v>5</v>
      </c>
      <c r="N277" s="60"/>
    </row>
    <row r="278" spans="1:14" x14ac:dyDescent="0.25">
      <c r="A278" s="45">
        <v>984</v>
      </c>
      <c r="B278" s="45" t="s">
        <v>398</v>
      </c>
      <c r="C278" s="59">
        <v>42972</v>
      </c>
      <c r="D278" s="46" t="str">
        <f t="shared" si="8"/>
        <v>V</v>
      </c>
      <c r="E278" s="61">
        <f t="shared" si="9"/>
        <v>34</v>
      </c>
      <c r="F278" s="45" t="s">
        <v>76</v>
      </c>
      <c r="G278" s="51">
        <v>15</v>
      </c>
      <c r="H278" s="51">
        <v>7</v>
      </c>
      <c r="I278" s="51">
        <v>1</v>
      </c>
      <c r="J278" s="51">
        <v>47</v>
      </c>
      <c r="K278" s="51">
        <v>5</v>
      </c>
      <c r="L278" s="51">
        <v>9</v>
      </c>
      <c r="M278" s="51">
        <v>12</v>
      </c>
      <c r="N278" s="60" t="s">
        <v>399</v>
      </c>
    </row>
    <row r="279" spans="1:14" x14ac:dyDescent="0.25">
      <c r="A279" s="45">
        <v>985</v>
      </c>
      <c r="B279" s="45" t="s">
        <v>400</v>
      </c>
      <c r="C279" s="59">
        <v>42976</v>
      </c>
      <c r="D279" s="46" t="str">
        <f t="shared" si="8"/>
        <v>M</v>
      </c>
      <c r="E279" s="61">
        <f t="shared" si="9"/>
        <v>35</v>
      </c>
      <c r="F279" s="45" t="s">
        <v>76</v>
      </c>
      <c r="G279" s="51">
        <v>4</v>
      </c>
      <c r="H279" s="51">
        <v>12</v>
      </c>
      <c r="I279" s="51">
        <v>32</v>
      </c>
      <c r="J279" s="51">
        <v>15</v>
      </c>
      <c r="K279" s="51">
        <v>38</v>
      </c>
      <c r="L279" s="51">
        <v>1</v>
      </c>
      <c r="M279" s="51">
        <v>5</v>
      </c>
      <c r="N279" s="60"/>
    </row>
    <row r="280" spans="1:14" x14ac:dyDescent="0.25">
      <c r="A280" s="45">
        <v>986</v>
      </c>
      <c r="B280" s="45" t="s">
        <v>401</v>
      </c>
      <c r="C280" s="59">
        <v>42979</v>
      </c>
      <c r="D280" s="46" t="str">
        <f t="shared" si="8"/>
        <v>V</v>
      </c>
      <c r="E280" s="61">
        <f t="shared" si="9"/>
        <v>35</v>
      </c>
      <c r="F280" s="45" t="s">
        <v>76</v>
      </c>
      <c r="G280" s="51">
        <v>8</v>
      </c>
      <c r="H280" s="51">
        <v>7</v>
      </c>
      <c r="I280" s="51">
        <v>3</v>
      </c>
      <c r="J280" s="51">
        <v>14</v>
      </c>
      <c r="K280" s="51">
        <v>49</v>
      </c>
      <c r="L280" s="51">
        <v>5</v>
      </c>
      <c r="M280" s="51">
        <v>8</v>
      </c>
      <c r="N280" s="60" t="s">
        <v>402</v>
      </c>
    </row>
    <row r="281" spans="1:14" x14ac:dyDescent="0.25">
      <c r="A281" s="45">
        <v>987</v>
      </c>
      <c r="B281" s="45" t="s">
        <v>403</v>
      </c>
      <c r="C281" s="59">
        <v>42983</v>
      </c>
      <c r="D281" s="46" t="str">
        <f t="shared" si="8"/>
        <v>M</v>
      </c>
      <c r="E281" s="61">
        <f t="shared" si="9"/>
        <v>36</v>
      </c>
      <c r="F281" s="45" t="s">
        <v>76</v>
      </c>
      <c r="G281" s="51">
        <v>28</v>
      </c>
      <c r="H281" s="51">
        <v>18</v>
      </c>
      <c r="I281" s="51">
        <v>29</v>
      </c>
      <c r="J281" s="51">
        <v>6</v>
      </c>
      <c r="K281" s="51">
        <v>9</v>
      </c>
      <c r="L281" s="51">
        <v>9</v>
      </c>
      <c r="M281" s="51">
        <v>1</v>
      </c>
      <c r="N281" s="60"/>
    </row>
    <row r="282" spans="1:14" x14ac:dyDescent="0.25">
      <c r="A282" s="45">
        <v>988</v>
      </c>
      <c r="B282" s="45" t="s">
        <v>404</v>
      </c>
      <c r="C282" s="59">
        <v>42986</v>
      </c>
      <c r="D282" s="46" t="str">
        <f t="shared" si="8"/>
        <v>V</v>
      </c>
      <c r="E282" s="61">
        <f t="shared" si="9"/>
        <v>36</v>
      </c>
      <c r="F282" s="45" t="s">
        <v>76</v>
      </c>
      <c r="G282" s="51">
        <v>42</v>
      </c>
      <c r="H282" s="51">
        <v>47</v>
      </c>
      <c r="I282" s="51">
        <v>24</v>
      </c>
      <c r="J282" s="51">
        <v>49</v>
      </c>
      <c r="K282" s="51">
        <v>9</v>
      </c>
      <c r="L282" s="51">
        <v>1</v>
      </c>
      <c r="M282" s="51">
        <v>5</v>
      </c>
      <c r="N282" s="60" t="s">
        <v>405</v>
      </c>
    </row>
    <row r="283" spans="1:14" x14ac:dyDescent="0.25">
      <c r="A283" s="45">
        <v>989</v>
      </c>
      <c r="B283" s="45" t="s">
        <v>406</v>
      </c>
      <c r="C283" s="59">
        <v>42990</v>
      </c>
      <c r="D283" s="46" t="str">
        <f t="shared" si="8"/>
        <v>M</v>
      </c>
      <c r="E283" s="61">
        <f t="shared" si="9"/>
        <v>37</v>
      </c>
      <c r="F283" s="45" t="s">
        <v>76</v>
      </c>
      <c r="G283" s="51">
        <v>35</v>
      </c>
      <c r="H283" s="51">
        <v>17</v>
      </c>
      <c r="I283" s="51">
        <v>29</v>
      </c>
      <c r="J283" s="51">
        <v>10</v>
      </c>
      <c r="K283" s="51">
        <v>27</v>
      </c>
      <c r="L283" s="51">
        <v>4</v>
      </c>
      <c r="M283" s="51">
        <v>11</v>
      </c>
      <c r="N283" s="60"/>
    </row>
    <row r="284" spans="1:14" x14ac:dyDescent="0.25">
      <c r="A284" s="45">
        <v>990</v>
      </c>
      <c r="B284" s="45" t="s">
        <v>407</v>
      </c>
      <c r="C284" s="59">
        <v>42993</v>
      </c>
      <c r="D284" s="46" t="str">
        <f t="shared" si="8"/>
        <v>V</v>
      </c>
      <c r="E284" s="61">
        <f t="shared" si="9"/>
        <v>37</v>
      </c>
      <c r="F284" s="45" t="s">
        <v>76</v>
      </c>
      <c r="G284" s="51">
        <v>44</v>
      </c>
      <c r="H284" s="51">
        <v>49</v>
      </c>
      <c r="I284" s="51">
        <v>13</v>
      </c>
      <c r="J284" s="51">
        <v>18</v>
      </c>
      <c r="K284" s="51">
        <v>37</v>
      </c>
      <c r="L284" s="51">
        <v>9</v>
      </c>
      <c r="M284" s="51">
        <v>12</v>
      </c>
      <c r="N284" s="60" t="s">
        <v>408</v>
      </c>
    </row>
    <row r="285" spans="1:14" x14ac:dyDescent="0.25">
      <c r="A285" s="45">
        <v>991</v>
      </c>
      <c r="B285" s="45" t="s">
        <v>409</v>
      </c>
      <c r="C285" s="59">
        <v>42997</v>
      </c>
      <c r="D285" s="46" t="str">
        <f t="shared" si="8"/>
        <v>M</v>
      </c>
      <c r="E285" s="61">
        <f t="shared" si="9"/>
        <v>38</v>
      </c>
      <c r="F285" s="45" t="s">
        <v>76</v>
      </c>
      <c r="G285" s="51">
        <v>45</v>
      </c>
      <c r="H285" s="51">
        <v>21</v>
      </c>
      <c r="I285" s="51">
        <v>1</v>
      </c>
      <c r="J285" s="51">
        <v>8</v>
      </c>
      <c r="K285" s="51">
        <v>30</v>
      </c>
      <c r="L285" s="51">
        <v>3</v>
      </c>
      <c r="M285" s="51">
        <v>2</v>
      </c>
      <c r="N285" s="60"/>
    </row>
    <row r="286" spans="1:14" x14ac:dyDescent="0.25">
      <c r="A286" s="45">
        <v>992</v>
      </c>
      <c r="B286" s="45" t="s">
        <v>410</v>
      </c>
      <c r="C286" s="59">
        <v>43000</v>
      </c>
      <c r="D286" s="46" t="str">
        <f t="shared" si="8"/>
        <v>V</v>
      </c>
      <c r="E286" s="61">
        <f t="shared" si="9"/>
        <v>38</v>
      </c>
      <c r="F286" s="45" t="s">
        <v>76</v>
      </c>
      <c r="G286" s="51">
        <v>6</v>
      </c>
      <c r="H286" s="51">
        <v>31</v>
      </c>
      <c r="I286" s="51">
        <v>39</v>
      </c>
      <c r="J286" s="51">
        <v>42</v>
      </c>
      <c r="K286" s="51">
        <v>11</v>
      </c>
      <c r="L286" s="51">
        <v>3</v>
      </c>
      <c r="M286" s="51">
        <v>1</v>
      </c>
      <c r="N286" s="60" t="s">
        <v>411</v>
      </c>
    </row>
    <row r="287" spans="1:14" x14ac:dyDescent="0.25">
      <c r="A287" s="45">
        <v>993</v>
      </c>
      <c r="B287" s="45" t="s">
        <v>412</v>
      </c>
      <c r="C287" s="59">
        <v>43004</v>
      </c>
      <c r="D287" s="46" t="str">
        <f t="shared" si="8"/>
        <v>M</v>
      </c>
      <c r="E287" s="61">
        <f t="shared" si="9"/>
        <v>39</v>
      </c>
      <c r="F287" s="45" t="s">
        <v>76</v>
      </c>
      <c r="G287" s="51">
        <v>40</v>
      </c>
      <c r="H287" s="51">
        <v>29</v>
      </c>
      <c r="I287" s="51">
        <v>1</v>
      </c>
      <c r="J287" s="51">
        <v>48</v>
      </c>
      <c r="K287" s="51">
        <v>41</v>
      </c>
      <c r="L287" s="51">
        <v>12</v>
      </c>
      <c r="M287" s="51">
        <v>6</v>
      </c>
      <c r="N287" s="60"/>
    </row>
    <row r="288" spans="1:14" x14ac:dyDescent="0.25">
      <c r="A288" s="45">
        <v>994</v>
      </c>
      <c r="B288" s="45" t="s">
        <v>413</v>
      </c>
      <c r="C288" s="59">
        <v>43007</v>
      </c>
      <c r="D288" s="46" t="str">
        <f t="shared" si="8"/>
        <v>V</v>
      </c>
      <c r="E288" s="61">
        <f t="shared" si="9"/>
        <v>39</v>
      </c>
      <c r="F288" s="45" t="s">
        <v>76</v>
      </c>
      <c r="G288" s="51">
        <v>18</v>
      </c>
      <c r="H288" s="51">
        <v>32</v>
      </c>
      <c r="I288" s="51">
        <v>7</v>
      </c>
      <c r="J288" s="51">
        <v>48</v>
      </c>
      <c r="K288" s="51">
        <v>19</v>
      </c>
      <c r="L288" s="51">
        <v>3</v>
      </c>
      <c r="M288" s="51">
        <v>7</v>
      </c>
      <c r="N288" s="60" t="s">
        <v>414</v>
      </c>
    </row>
    <row r="289" spans="1:14" x14ac:dyDescent="0.25">
      <c r="A289" s="45">
        <v>995</v>
      </c>
      <c r="B289" s="45" t="s">
        <v>415</v>
      </c>
      <c r="C289" s="59">
        <v>43011</v>
      </c>
      <c r="D289" s="46" t="str">
        <f t="shared" si="8"/>
        <v>M</v>
      </c>
      <c r="E289" s="61">
        <f t="shared" si="9"/>
        <v>40</v>
      </c>
      <c r="F289" s="45" t="s">
        <v>76</v>
      </c>
      <c r="G289" s="51">
        <v>32</v>
      </c>
      <c r="H289" s="51">
        <v>6</v>
      </c>
      <c r="I289" s="51">
        <v>50</v>
      </c>
      <c r="J289" s="51">
        <v>24</v>
      </c>
      <c r="K289" s="51">
        <v>48</v>
      </c>
      <c r="L289" s="51">
        <v>1</v>
      </c>
      <c r="M289" s="51">
        <v>5</v>
      </c>
      <c r="N289" s="60"/>
    </row>
    <row r="290" spans="1:14" x14ac:dyDescent="0.25">
      <c r="A290" s="45">
        <v>996</v>
      </c>
      <c r="B290" s="45" t="s">
        <v>416</v>
      </c>
      <c r="C290" s="59">
        <v>43014</v>
      </c>
      <c r="D290" s="46" t="str">
        <f t="shared" si="8"/>
        <v>V</v>
      </c>
      <c r="E290" s="61">
        <f t="shared" si="9"/>
        <v>40</v>
      </c>
      <c r="F290" s="45" t="s">
        <v>76</v>
      </c>
      <c r="G290" s="51">
        <v>15</v>
      </c>
      <c r="H290" s="51">
        <v>1</v>
      </c>
      <c r="I290" s="51">
        <v>9</v>
      </c>
      <c r="J290" s="51">
        <v>25</v>
      </c>
      <c r="K290" s="51">
        <v>19</v>
      </c>
      <c r="L290" s="51">
        <v>1</v>
      </c>
      <c r="M290" s="51">
        <v>7</v>
      </c>
      <c r="N290" s="60" t="s">
        <v>417</v>
      </c>
    </row>
    <row r="291" spans="1:14" x14ac:dyDescent="0.25">
      <c r="A291" s="45">
        <v>997</v>
      </c>
      <c r="B291" s="45" t="s">
        <v>418</v>
      </c>
      <c r="C291" s="59">
        <v>43018</v>
      </c>
      <c r="D291" s="46" t="str">
        <f t="shared" si="8"/>
        <v>M</v>
      </c>
      <c r="E291" s="61">
        <f t="shared" si="9"/>
        <v>41</v>
      </c>
      <c r="F291" s="45" t="s">
        <v>76</v>
      </c>
      <c r="G291" s="51">
        <v>36</v>
      </c>
      <c r="H291" s="51">
        <v>4</v>
      </c>
      <c r="I291" s="51">
        <v>37</v>
      </c>
      <c r="J291" s="51">
        <v>21</v>
      </c>
      <c r="K291" s="51">
        <v>34</v>
      </c>
      <c r="L291" s="51">
        <v>6</v>
      </c>
      <c r="M291" s="51">
        <v>3</v>
      </c>
      <c r="N291" s="60"/>
    </row>
    <row r="292" spans="1:14" x14ac:dyDescent="0.25">
      <c r="A292" s="45">
        <v>998</v>
      </c>
      <c r="B292" s="45" t="s">
        <v>419</v>
      </c>
      <c r="C292" s="59">
        <v>43021</v>
      </c>
      <c r="D292" s="46" t="str">
        <f t="shared" si="8"/>
        <v>V</v>
      </c>
      <c r="E292" s="61">
        <f t="shared" si="9"/>
        <v>41</v>
      </c>
      <c r="F292" s="45" t="s">
        <v>76</v>
      </c>
      <c r="G292" s="51">
        <v>23</v>
      </c>
      <c r="H292" s="51">
        <v>37</v>
      </c>
      <c r="I292" s="51">
        <v>50</v>
      </c>
      <c r="J292" s="51">
        <v>29</v>
      </c>
      <c r="K292" s="51">
        <v>45</v>
      </c>
      <c r="L292" s="51">
        <v>5</v>
      </c>
      <c r="M292" s="51">
        <v>11</v>
      </c>
      <c r="N292" s="60" t="s">
        <v>420</v>
      </c>
    </row>
    <row r="293" spans="1:14" x14ac:dyDescent="0.25">
      <c r="A293" s="45">
        <v>999</v>
      </c>
      <c r="B293" s="45" t="s">
        <v>421</v>
      </c>
      <c r="C293" s="59">
        <v>43025</v>
      </c>
      <c r="D293" s="46" t="str">
        <f t="shared" si="8"/>
        <v>M</v>
      </c>
      <c r="E293" s="61">
        <f t="shared" si="9"/>
        <v>42</v>
      </c>
      <c r="F293" s="45" t="s">
        <v>76</v>
      </c>
      <c r="G293" s="51">
        <v>19</v>
      </c>
      <c r="H293" s="51">
        <v>26</v>
      </c>
      <c r="I293" s="51">
        <v>17</v>
      </c>
      <c r="J293" s="51">
        <v>13</v>
      </c>
      <c r="K293" s="51">
        <v>36</v>
      </c>
      <c r="L293" s="51">
        <v>2</v>
      </c>
      <c r="M293" s="51">
        <v>3</v>
      </c>
      <c r="N293" s="60"/>
    </row>
    <row r="294" spans="1:14" x14ac:dyDescent="0.25">
      <c r="A294" s="45">
        <v>1000</v>
      </c>
      <c r="B294" s="45" t="s">
        <v>422</v>
      </c>
      <c r="C294" s="59">
        <v>43028</v>
      </c>
      <c r="D294" s="46" t="str">
        <f t="shared" si="8"/>
        <v>V</v>
      </c>
      <c r="E294" s="61">
        <f t="shared" si="9"/>
        <v>42</v>
      </c>
      <c r="F294" s="45" t="s">
        <v>76</v>
      </c>
      <c r="G294" s="51">
        <v>4</v>
      </c>
      <c r="H294" s="51">
        <v>27</v>
      </c>
      <c r="I294" s="51">
        <v>23</v>
      </c>
      <c r="J294" s="51">
        <v>30</v>
      </c>
      <c r="K294" s="51">
        <v>17</v>
      </c>
      <c r="L294" s="51">
        <v>3</v>
      </c>
      <c r="M294" s="51">
        <v>8</v>
      </c>
      <c r="N294" s="60" t="s">
        <v>423</v>
      </c>
    </row>
    <row r="295" spans="1:14" x14ac:dyDescent="0.25">
      <c r="A295" s="45">
        <v>1001</v>
      </c>
      <c r="B295" s="45" t="s">
        <v>424</v>
      </c>
      <c r="C295" s="59">
        <v>43032</v>
      </c>
      <c r="D295" s="46" t="str">
        <f t="shared" si="8"/>
        <v>M</v>
      </c>
      <c r="E295" s="61">
        <f t="shared" si="9"/>
        <v>43</v>
      </c>
      <c r="F295" s="45" t="s">
        <v>76</v>
      </c>
      <c r="G295" s="51">
        <v>27</v>
      </c>
      <c r="H295" s="51">
        <v>9</v>
      </c>
      <c r="I295" s="51">
        <v>33</v>
      </c>
      <c r="J295" s="51">
        <v>13</v>
      </c>
      <c r="K295" s="51">
        <v>11</v>
      </c>
      <c r="L295" s="51">
        <v>10</v>
      </c>
      <c r="M295" s="51">
        <v>7</v>
      </c>
      <c r="N295" s="60"/>
    </row>
    <row r="296" spans="1:14" x14ac:dyDescent="0.25">
      <c r="A296" s="45">
        <v>1002</v>
      </c>
      <c r="B296" s="45" t="s">
        <v>425</v>
      </c>
      <c r="C296" s="59">
        <v>43035</v>
      </c>
      <c r="D296" s="46" t="str">
        <f t="shared" si="8"/>
        <v>V</v>
      </c>
      <c r="E296" s="61">
        <f t="shared" si="9"/>
        <v>43</v>
      </c>
      <c r="F296" s="45" t="s">
        <v>76</v>
      </c>
      <c r="G296" s="51">
        <v>39</v>
      </c>
      <c r="H296" s="51">
        <v>23</v>
      </c>
      <c r="I296" s="51">
        <v>16</v>
      </c>
      <c r="J296" s="51">
        <v>32</v>
      </c>
      <c r="K296" s="51">
        <v>3</v>
      </c>
      <c r="L296" s="51">
        <v>1</v>
      </c>
      <c r="M296" s="51">
        <v>4</v>
      </c>
      <c r="N296" s="60" t="s">
        <v>426</v>
      </c>
    </row>
    <row r="297" spans="1:14" x14ac:dyDescent="0.25">
      <c r="A297" s="45">
        <v>1003</v>
      </c>
      <c r="B297" s="45" t="s">
        <v>427</v>
      </c>
      <c r="C297" s="59">
        <v>43039</v>
      </c>
      <c r="D297" s="46" t="str">
        <f t="shared" si="8"/>
        <v>M</v>
      </c>
      <c r="E297" s="61">
        <f t="shared" si="9"/>
        <v>44</v>
      </c>
      <c r="F297" s="45" t="s">
        <v>76</v>
      </c>
      <c r="G297" s="51">
        <v>46</v>
      </c>
      <c r="H297" s="51">
        <v>12</v>
      </c>
      <c r="I297" s="51">
        <v>43</v>
      </c>
      <c r="J297" s="51">
        <v>36</v>
      </c>
      <c r="K297" s="51">
        <v>1</v>
      </c>
      <c r="L297" s="51">
        <v>3</v>
      </c>
      <c r="M297" s="51">
        <v>5</v>
      </c>
      <c r="N297" s="60"/>
    </row>
    <row r="298" spans="1:14" x14ac:dyDescent="0.25">
      <c r="A298" s="45">
        <v>1004</v>
      </c>
      <c r="B298" s="45" t="s">
        <v>428</v>
      </c>
      <c r="C298" s="59">
        <v>43042</v>
      </c>
      <c r="D298" s="46" t="str">
        <f t="shared" si="8"/>
        <v>V</v>
      </c>
      <c r="E298" s="61">
        <f t="shared" si="9"/>
        <v>44</v>
      </c>
      <c r="F298" s="45" t="s">
        <v>76</v>
      </c>
      <c r="G298" s="51">
        <v>41</v>
      </c>
      <c r="H298" s="51">
        <v>5</v>
      </c>
      <c r="I298" s="51">
        <v>33</v>
      </c>
      <c r="J298" s="51">
        <v>17</v>
      </c>
      <c r="K298" s="51">
        <v>12</v>
      </c>
      <c r="L298" s="51">
        <v>4</v>
      </c>
      <c r="M298" s="51">
        <v>9</v>
      </c>
      <c r="N298" s="60" t="s">
        <v>429</v>
      </c>
    </row>
    <row r="299" spans="1:14" x14ac:dyDescent="0.25">
      <c r="A299" s="45">
        <v>1005</v>
      </c>
      <c r="B299" s="45" t="s">
        <v>430</v>
      </c>
      <c r="C299" s="59">
        <v>43046</v>
      </c>
      <c r="D299" s="46" t="str">
        <f t="shared" si="8"/>
        <v>M</v>
      </c>
      <c r="E299" s="61">
        <f t="shared" si="9"/>
        <v>45</v>
      </c>
      <c r="F299" s="45" t="s">
        <v>76</v>
      </c>
      <c r="G299" s="51">
        <v>37</v>
      </c>
      <c r="H299" s="51">
        <v>19</v>
      </c>
      <c r="I299" s="51">
        <v>41</v>
      </c>
      <c r="J299" s="51">
        <v>20</v>
      </c>
      <c r="K299" s="51">
        <v>7</v>
      </c>
      <c r="L299" s="51">
        <v>12</v>
      </c>
      <c r="M299" s="51">
        <v>2</v>
      </c>
      <c r="N299" s="60"/>
    </row>
    <row r="300" spans="1:14" x14ac:dyDescent="0.25">
      <c r="A300" s="45">
        <v>1006</v>
      </c>
      <c r="B300" s="45" t="s">
        <v>430</v>
      </c>
      <c r="C300" s="59">
        <v>43049</v>
      </c>
      <c r="D300" s="46" t="str">
        <f t="shared" si="8"/>
        <v>V</v>
      </c>
      <c r="E300" s="61">
        <f t="shared" si="9"/>
        <v>45</v>
      </c>
      <c r="F300" s="45" t="s">
        <v>76</v>
      </c>
      <c r="G300" s="51">
        <v>37</v>
      </c>
      <c r="H300" s="51">
        <v>36</v>
      </c>
      <c r="I300" s="51">
        <v>29</v>
      </c>
      <c r="J300" s="51">
        <v>22</v>
      </c>
      <c r="K300" s="51">
        <v>13</v>
      </c>
      <c r="L300" s="51">
        <v>1</v>
      </c>
      <c r="M300" s="51">
        <v>9</v>
      </c>
      <c r="N300" s="60" t="s">
        <v>431</v>
      </c>
    </row>
    <row r="301" spans="1:14" x14ac:dyDescent="0.25">
      <c r="A301" s="45">
        <v>1007</v>
      </c>
      <c r="B301" s="45" t="s">
        <v>432</v>
      </c>
      <c r="C301" s="59">
        <v>43053</v>
      </c>
      <c r="D301" s="46" t="str">
        <f t="shared" si="8"/>
        <v>M</v>
      </c>
      <c r="E301" s="61">
        <f t="shared" si="9"/>
        <v>46</v>
      </c>
      <c r="F301" s="45" t="s">
        <v>76</v>
      </c>
      <c r="G301" s="51">
        <v>16</v>
      </c>
      <c r="H301" s="51">
        <v>40</v>
      </c>
      <c r="I301" s="51">
        <v>39</v>
      </c>
      <c r="J301" s="51">
        <v>41</v>
      </c>
      <c r="K301" s="51">
        <v>14</v>
      </c>
      <c r="L301" s="51">
        <v>8</v>
      </c>
      <c r="M301" s="51">
        <v>10</v>
      </c>
      <c r="N301" s="60"/>
    </row>
    <row r="302" spans="1:14" x14ac:dyDescent="0.25">
      <c r="A302" s="45">
        <v>1008</v>
      </c>
      <c r="B302" s="45" t="s">
        <v>433</v>
      </c>
      <c r="C302" s="59">
        <v>43056</v>
      </c>
      <c r="D302" s="46" t="str">
        <f t="shared" si="8"/>
        <v>V</v>
      </c>
      <c r="E302" s="61">
        <f t="shared" si="9"/>
        <v>46</v>
      </c>
      <c r="F302" s="45" t="s">
        <v>76</v>
      </c>
      <c r="G302" s="51">
        <v>35</v>
      </c>
      <c r="H302" s="51">
        <v>36</v>
      </c>
      <c r="I302" s="51">
        <v>26</v>
      </c>
      <c r="J302" s="51">
        <v>42</v>
      </c>
      <c r="K302" s="51">
        <v>20</v>
      </c>
      <c r="L302" s="51">
        <v>5</v>
      </c>
      <c r="M302" s="51">
        <v>12</v>
      </c>
      <c r="N302" s="60" t="s">
        <v>434</v>
      </c>
    </row>
    <row r="303" spans="1:14" x14ac:dyDescent="0.25">
      <c r="A303" s="45">
        <v>1009</v>
      </c>
      <c r="B303" s="45" t="s">
        <v>435</v>
      </c>
      <c r="C303" s="59">
        <v>43060</v>
      </c>
      <c r="D303" s="46" t="str">
        <f t="shared" si="8"/>
        <v>M</v>
      </c>
      <c r="E303" s="61">
        <f t="shared" si="9"/>
        <v>47</v>
      </c>
      <c r="F303" s="45" t="s">
        <v>76</v>
      </c>
      <c r="G303" s="51">
        <v>31</v>
      </c>
      <c r="H303" s="51">
        <v>28</v>
      </c>
      <c r="I303" s="51">
        <v>10</v>
      </c>
      <c r="J303" s="51">
        <v>2</v>
      </c>
      <c r="K303" s="51">
        <v>14</v>
      </c>
      <c r="L303" s="51">
        <v>7</v>
      </c>
      <c r="M303" s="51">
        <v>5</v>
      </c>
      <c r="N303" s="60"/>
    </row>
    <row r="304" spans="1:14" x14ac:dyDescent="0.25">
      <c r="A304" s="45">
        <v>1010</v>
      </c>
      <c r="B304" s="45" t="s">
        <v>436</v>
      </c>
      <c r="C304" s="59">
        <v>43063</v>
      </c>
      <c r="D304" s="46" t="str">
        <f t="shared" si="8"/>
        <v>V</v>
      </c>
      <c r="E304" s="61">
        <f t="shared" si="9"/>
        <v>47</v>
      </c>
      <c r="F304" s="45" t="s">
        <v>76</v>
      </c>
      <c r="G304" s="51">
        <v>28</v>
      </c>
      <c r="H304" s="51">
        <v>24</v>
      </c>
      <c r="I304" s="51">
        <v>50</v>
      </c>
      <c r="J304" s="51">
        <v>19</v>
      </c>
      <c r="K304" s="51">
        <v>30</v>
      </c>
      <c r="L304" s="51">
        <v>10</v>
      </c>
      <c r="M304" s="51">
        <v>3</v>
      </c>
      <c r="N304" s="60" t="s">
        <v>437</v>
      </c>
    </row>
    <row r="305" spans="1:14" x14ac:dyDescent="0.25">
      <c r="A305" s="45">
        <v>1011</v>
      </c>
      <c r="B305" s="45" t="s">
        <v>438</v>
      </c>
      <c r="C305" s="59">
        <v>43067</v>
      </c>
      <c r="D305" s="46" t="str">
        <f t="shared" si="8"/>
        <v>M</v>
      </c>
      <c r="E305" s="61">
        <f t="shared" si="9"/>
        <v>48</v>
      </c>
      <c r="F305" s="45" t="s">
        <v>76</v>
      </c>
      <c r="G305" s="51">
        <v>42</v>
      </c>
      <c r="H305" s="51">
        <v>1</v>
      </c>
      <c r="I305" s="51">
        <v>12</v>
      </c>
      <c r="J305" s="51">
        <v>6</v>
      </c>
      <c r="K305" s="51">
        <v>18</v>
      </c>
      <c r="L305" s="51">
        <v>2</v>
      </c>
      <c r="M305" s="51">
        <v>7</v>
      </c>
      <c r="N305" s="60"/>
    </row>
    <row r="306" spans="1:14" x14ac:dyDescent="0.25">
      <c r="A306" s="45">
        <v>1012</v>
      </c>
      <c r="B306" s="45" t="s">
        <v>439</v>
      </c>
      <c r="C306" s="59">
        <v>43070</v>
      </c>
      <c r="D306" s="46" t="str">
        <f t="shared" si="8"/>
        <v>V</v>
      </c>
      <c r="E306" s="61">
        <f t="shared" si="9"/>
        <v>48</v>
      </c>
      <c r="F306" s="45" t="s">
        <v>76</v>
      </c>
      <c r="G306" s="51">
        <v>5</v>
      </c>
      <c r="H306" s="51">
        <v>46</v>
      </c>
      <c r="I306" s="51">
        <v>29</v>
      </c>
      <c r="J306" s="51">
        <v>35</v>
      </c>
      <c r="K306" s="51">
        <v>24</v>
      </c>
      <c r="L306" s="51">
        <v>11</v>
      </c>
      <c r="M306" s="51">
        <v>12</v>
      </c>
      <c r="N306" s="60" t="s">
        <v>440</v>
      </c>
    </row>
    <row r="307" spans="1:14" x14ac:dyDescent="0.25">
      <c r="A307" s="45">
        <v>1013</v>
      </c>
      <c r="B307" s="45" t="s">
        <v>441</v>
      </c>
      <c r="C307" s="59">
        <v>43074</v>
      </c>
      <c r="D307" s="46" t="str">
        <f t="shared" si="8"/>
        <v>M</v>
      </c>
      <c r="E307" s="61">
        <f t="shared" si="9"/>
        <v>49</v>
      </c>
      <c r="F307" s="45" t="s">
        <v>76</v>
      </c>
      <c r="G307" s="51">
        <v>48</v>
      </c>
      <c r="H307" s="51">
        <v>11</v>
      </c>
      <c r="I307" s="51">
        <v>11</v>
      </c>
      <c r="J307" s="51">
        <v>43</v>
      </c>
      <c r="K307" s="51">
        <v>36</v>
      </c>
      <c r="L307" s="51">
        <v>2</v>
      </c>
      <c r="M307" s="51">
        <v>7</v>
      </c>
      <c r="N307" s="60"/>
    </row>
    <row r="308" spans="1:14" x14ac:dyDescent="0.25">
      <c r="A308" s="45">
        <v>1014</v>
      </c>
      <c r="B308" s="45" t="s">
        <v>442</v>
      </c>
      <c r="C308" s="59">
        <v>43077</v>
      </c>
      <c r="D308" s="46" t="str">
        <f t="shared" si="8"/>
        <v>V</v>
      </c>
      <c r="E308" s="61">
        <f t="shared" si="9"/>
        <v>49</v>
      </c>
      <c r="F308" s="45" t="s">
        <v>76</v>
      </c>
      <c r="G308" s="51">
        <v>34</v>
      </c>
      <c r="H308" s="51">
        <v>32</v>
      </c>
      <c r="I308" s="51">
        <v>22</v>
      </c>
      <c r="J308" s="51">
        <v>30</v>
      </c>
      <c r="K308" s="51">
        <v>4</v>
      </c>
      <c r="L308" s="51">
        <v>4</v>
      </c>
      <c r="M308" s="51">
        <v>3</v>
      </c>
      <c r="N308" s="60" t="s">
        <v>443</v>
      </c>
    </row>
    <row r="309" spans="1:14" x14ac:dyDescent="0.25">
      <c r="A309" s="45">
        <v>1015</v>
      </c>
      <c r="B309" s="45" t="s">
        <v>444</v>
      </c>
      <c r="C309" s="59">
        <v>43081</v>
      </c>
      <c r="D309" s="46" t="str">
        <f t="shared" si="8"/>
        <v>M</v>
      </c>
      <c r="E309" s="61">
        <f t="shared" si="9"/>
        <v>50</v>
      </c>
      <c r="F309" s="45" t="s">
        <v>76</v>
      </c>
      <c r="G309" s="51">
        <v>15</v>
      </c>
      <c r="H309" s="51">
        <v>38</v>
      </c>
      <c r="I309" s="51">
        <v>46</v>
      </c>
      <c r="J309" s="51">
        <v>8</v>
      </c>
      <c r="K309" s="51">
        <v>30</v>
      </c>
      <c r="L309" s="51">
        <v>4</v>
      </c>
      <c r="M309" s="51">
        <v>7</v>
      </c>
      <c r="N309" s="60"/>
    </row>
    <row r="310" spans="1:14" x14ac:dyDescent="0.25">
      <c r="A310" s="45">
        <v>1016</v>
      </c>
      <c r="B310" s="45" t="s">
        <v>445</v>
      </c>
      <c r="C310" s="59">
        <v>43084</v>
      </c>
      <c r="D310" s="46" t="str">
        <f t="shared" si="8"/>
        <v>V</v>
      </c>
      <c r="E310" s="61">
        <f t="shared" si="9"/>
        <v>50</v>
      </c>
      <c r="F310" s="45" t="s">
        <v>76</v>
      </c>
      <c r="G310" s="51">
        <v>5</v>
      </c>
      <c r="H310" s="51">
        <v>30</v>
      </c>
      <c r="I310" s="51">
        <v>24</v>
      </c>
      <c r="J310" s="51">
        <v>31</v>
      </c>
      <c r="K310" s="51">
        <v>43</v>
      </c>
      <c r="L310" s="51">
        <v>3</v>
      </c>
      <c r="M310" s="51">
        <v>6</v>
      </c>
      <c r="N310" s="60" t="s">
        <v>446</v>
      </c>
    </row>
    <row r="311" spans="1:14" x14ac:dyDescent="0.25">
      <c r="A311" s="45">
        <v>1017</v>
      </c>
      <c r="B311" s="45" t="s">
        <v>447</v>
      </c>
      <c r="C311" s="59">
        <f t="shared" ref="C311:C354" si="10">+C309+7</f>
        <v>43088</v>
      </c>
      <c r="D311" s="46" t="str">
        <f t="shared" si="8"/>
        <v>M</v>
      </c>
      <c r="E311" s="61">
        <f t="shared" si="9"/>
        <v>51</v>
      </c>
      <c r="F311" s="45" t="s">
        <v>76</v>
      </c>
      <c r="G311" s="51">
        <v>15</v>
      </c>
      <c r="H311" s="51">
        <v>38</v>
      </c>
      <c r="I311" s="51">
        <v>46</v>
      </c>
      <c r="J311" s="51">
        <v>8</v>
      </c>
      <c r="K311" s="51">
        <v>30</v>
      </c>
      <c r="L311" s="51">
        <v>4</v>
      </c>
      <c r="M311" s="51">
        <v>7</v>
      </c>
      <c r="N311" s="60"/>
    </row>
    <row r="312" spans="1:14" x14ac:dyDescent="0.25">
      <c r="A312" s="45">
        <v>1018</v>
      </c>
      <c r="B312" s="45" t="s">
        <v>448</v>
      </c>
      <c r="C312" s="59">
        <f t="shared" si="10"/>
        <v>43091</v>
      </c>
      <c r="D312" s="46" t="str">
        <f t="shared" si="8"/>
        <v>V</v>
      </c>
      <c r="E312" s="61">
        <f t="shared" si="9"/>
        <v>51</v>
      </c>
      <c r="F312" s="45" t="s">
        <v>76</v>
      </c>
      <c r="G312" s="51">
        <v>5</v>
      </c>
      <c r="H312" s="51">
        <v>30</v>
      </c>
      <c r="I312" s="51">
        <v>24</v>
      </c>
      <c r="J312" s="51">
        <v>31</v>
      </c>
      <c r="K312" s="51">
        <v>43</v>
      </c>
      <c r="L312" s="51">
        <v>3</v>
      </c>
      <c r="M312" s="51">
        <v>6</v>
      </c>
      <c r="N312" s="60" t="s">
        <v>449</v>
      </c>
    </row>
    <row r="313" spans="1:14" x14ac:dyDescent="0.25">
      <c r="A313" s="45">
        <v>1019</v>
      </c>
      <c r="B313" s="45" t="s">
        <v>450</v>
      </c>
      <c r="C313" s="59">
        <f t="shared" si="10"/>
        <v>43095</v>
      </c>
      <c r="D313" s="46" t="str">
        <f t="shared" si="8"/>
        <v>M</v>
      </c>
      <c r="E313" s="61">
        <f t="shared" si="9"/>
        <v>52</v>
      </c>
      <c r="F313" s="45" t="s">
        <v>76</v>
      </c>
      <c r="G313" s="51">
        <v>30</v>
      </c>
      <c r="H313" s="51">
        <v>4</v>
      </c>
      <c r="I313" s="51">
        <v>17</v>
      </c>
      <c r="J313" s="51">
        <v>44</v>
      </c>
      <c r="K313" s="51">
        <v>43</v>
      </c>
      <c r="L313" s="51">
        <v>10</v>
      </c>
      <c r="M313" s="51">
        <v>2</v>
      </c>
      <c r="N313" s="60"/>
    </row>
    <row r="314" spans="1:14" x14ac:dyDescent="0.25">
      <c r="A314" s="45">
        <v>1020</v>
      </c>
      <c r="B314" s="45" t="s">
        <v>451</v>
      </c>
      <c r="C314" s="59">
        <f t="shared" si="10"/>
        <v>43098</v>
      </c>
      <c r="D314" s="46" t="str">
        <f t="shared" si="8"/>
        <v>V</v>
      </c>
      <c r="E314" s="61">
        <f t="shared" si="9"/>
        <v>52</v>
      </c>
      <c r="F314" s="45" t="s">
        <v>76</v>
      </c>
      <c r="G314" s="51">
        <v>4</v>
      </c>
      <c r="H314" s="51">
        <v>48</v>
      </c>
      <c r="I314" s="51">
        <v>8</v>
      </c>
      <c r="J314" s="51">
        <v>22</v>
      </c>
      <c r="K314" s="51">
        <v>23</v>
      </c>
      <c r="L314" s="51">
        <v>1</v>
      </c>
      <c r="M314" s="51">
        <v>12</v>
      </c>
      <c r="N314" s="60" t="s">
        <v>452</v>
      </c>
    </row>
    <row r="315" spans="1:14" x14ac:dyDescent="0.25">
      <c r="A315" s="45">
        <v>1021</v>
      </c>
      <c r="B315" s="45" t="s">
        <v>453</v>
      </c>
      <c r="C315" s="59">
        <f t="shared" si="10"/>
        <v>43102</v>
      </c>
      <c r="D315" s="46" t="str">
        <f t="shared" si="8"/>
        <v>M</v>
      </c>
      <c r="E315" s="61">
        <f t="shared" si="9"/>
        <v>1</v>
      </c>
      <c r="F315" s="45" t="s">
        <v>76</v>
      </c>
      <c r="G315" s="51">
        <v>20</v>
      </c>
      <c r="H315" s="51">
        <v>10</v>
      </c>
      <c r="I315" s="51">
        <v>21</v>
      </c>
      <c r="J315" s="51">
        <v>48</v>
      </c>
      <c r="K315" s="51">
        <v>28</v>
      </c>
      <c r="L315" s="51">
        <v>1</v>
      </c>
      <c r="M315" s="51">
        <v>8</v>
      </c>
      <c r="N315" s="60"/>
    </row>
    <row r="316" spans="1:14" x14ac:dyDescent="0.25">
      <c r="A316" s="45">
        <v>1022</v>
      </c>
      <c r="B316" s="45" t="s">
        <v>454</v>
      </c>
      <c r="C316" s="59">
        <f t="shared" si="10"/>
        <v>43105</v>
      </c>
      <c r="D316" s="46" t="str">
        <f t="shared" si="8"/>
        <v>V</v>
      </c>
      <c r="E316" s="61">
        <f t="shared" si="9"/>
        <v>1</v>
      </c>
      <c r="F316" s="45" t="s">
        <v>76</v>
      </c>
      <c r="G316" s="51">
        <v>41</v>
      </c>
      <c r="H316" s="51">
        <v>38</v>
      </c>
      <c r="I316" s="51">
        <v>20</v>
      </c>
      <c r="J316" s="51">
        <v>5</v>
      </c>
      <c r="K316" s="51">
        <v>2</v>
      </c>
      <c r="L316" s="51">
        <v>4</v>
      </c>
      <c r="M316" s="51">
        <v>8</v>
      </c>
      <c r="N316" s="60" t="s">
        <v>455</v>
      </c>
    </row>
    <row r="317" spans="1:14" x14ac:dyDescent="0.25">
      <c r="A317" s="45">
        <v>1023</v>
      </c>
      <c r="B317" s="45" t="s">
        <v>456</v>
      </c>
      <c r="C317" s="59">
        <f t="shared" si="10"/>
        <v>43109</v>
      </c>
      <c r="D317" s="46" t="str">
        <f t="shared" si="8"/>
        <v>M</v>
      </c>
      <c r="E317" s="61">
        <f t="shared" si="9"/>
        <v>2</v>
      </c>
      <c r="F317" s="45" t="s">
        <v>76</v>
      </c>
      <c r="G317" s="51">
        <v>6</v>
      </c>
      <c r="H317" s="51">
        <v>49</v>
      </c>
      <c r="I317" s="51">
        <v>38</v>
      </c>
      <c r="J317" s="51">
        <v>12</v>
      </c>
      <c r="K317" s="51">
        <v>15</v>
      </c>
      <c r="L317" s="51">
        <v>9</v>
      </c>
      <c r="M317" s="51">
        <v>2</v>
      </c>
      <c r="N317" s="60"/>
    </row>
    <row r="318" spans="1:14" x14ac:dyDescent="0.25">
      <c r="A318" s="45">
        <v>1024</v>
      </c>
      <c r="B318" s="45" t="s">
        <v>457</v>
      </c>
      <c r="C318" s="59">
        <f t="shared" si="10"/>
        <v>43112</v>
      </c>
      <c r="D318" s="46" t="str">
        <f t="shared" si="8"/>
        <v>V</v>
      </c>
      <c r="E318" s="61">
        <f t="shared" si="9"/>
        <v>2</v>
      </c>
      <c r="F318" s="45" t="s">
        <v>76</v>
      </c>
      <c r="G318" s="51">
        <v>45</v>
      </c>
      <c r="H318" s="51">
        <v>30</v>
      </c>
      <c r="I318" s="51">
        <v>21</v>
      </c>
      <c r="J318" s="51">
        <v>13</v>
      </c>
      <c r="K318" s="51">
        <v>23</v>
      </c>
      <c r="L318" s="51">
        <v>6</v>
      </c>
      <c r="M318" s="51">
        <v>4</v>
      </c>
      <c r="N318" s="60" t="s">
        <v>458</v>
      </c>
    </row>
    <row r="319" spans="1:14" x14ac:dyDescent="0.25">
      <c r="A319" s="45">
        <v>1025</v>
      </c>
      <c r="B319" s="45" t="s">
        <v>459</v>
      </c>
      <c r="C319" s="59">
        <f t="shared" si="10"/>
        <v>43116</v>
      </c>
      <c r="D319" s="46" t="str">
        <f t="shared" si="8"/>
        <v>M</v>
      </c>
      <c r="E319" s="61">
        <f t="shared" si="9"/>
        <v>3</v>
      </c>
      <c r="F319" s="45" t="s">
        <v>76</v>
      </c>
      <c r="G319" s="51">
        <v>46</v>
      </c>
      <c r="H319" s="51">
        <v>34</v>
      </c>
      <c r="I319" s="51">
        <v>31</v>
      </c>
      <c r="J319" s="51">
        <v>20</v>
      </c>
      <c r="K319" s="51">
        <v>23</v>
      </c>
      <c r="L319" s="51">
        <v>3</v>
      </c>
      <c r="M319" s="51">
        <v>12</v>
      </c>
      <c r="N319" s="60"/>
    </row>
    <row r="320" spans="1:14" x14ac:dyDescent="0.25">
      <c r="A320" s="45">
        <v>1026</v>
      </c>
      <c r="B320" s="45" t="s">
        <v>460</v>
      </c>
      <c r="C320" s="59">
        <f t="shared" si="10"/>
        <v>43119</v>
      </c>
      <c r="D320" s="46" t="str">
        <f t="shared" si="8"/>
        <v>V</v>
      </c>
      <c r="E320" s="61">
        <f t="shared" si="9"/>
        <v>3</v>
      </c>
      <c r="F320" s="45" t="s">
        <v>76</v>
      </c>
      <c r="G320" s="51">
        <v>44</v>
      </c>
      <c r="H320" s="51">
        <v>3</v>
      </c>
      <c r="I320" s="51">
        <v>17</v>
      </c>
      <c r="J320" s="51">
        <v>50</v>
      </c>
      <c r="K320" s="51">
        <v>8</v>
      </c>
      <c r="L320" s="51">
        <v>2</v>
      </c>
      <c r="M320" s="51">
        <v>7</v>
      </c>
      <c r="N320" s="60" t="s">
        <v>461</v>
      </c>
    </row>
    <row r="321" spans="1:14" x14ac:dyDescent="0.25">
      <c r="A321" s="45">
        <v>1027</v>
      </c>
      <c r="B321" s="45" t="s">
        <v>462</v>
      </c>
      <c r="C321" s="59">
        <f t="shared" si="10"/>
        <v>43123</v>
      </c>
      <c r="D321" s="46" t="str">
        <f t="shared" si="8"/>
        <v>M</v>
      </c>
      <c r="E321" s="61">
        <f t="shared" si="9"/>
        <v>4</v>
      </c>
      <c r="F321" s="45" t="s">
        <v>76</v>
      </c>
      <c r="G321" s="51">
        <v>5</v>
      </c>
      <c r="H321" s="51">
        <v>23</v>
      </c>
      <c r="I321" s="51">
        <v>8</v>
      </c>
      <c r="J321" s="51">
        <v>9</v>
      </c>
      <c r="K321" s="51">
        <v>24</v>
      </c>
      <c r="L321" s="51">
        <v>7</v>
      </c>
      <c r="M321" s="51">
        <v>8</v>
      </c>
      <c r="N321" s="60"/>
    </row>
    <row r="322" spans="1:14" x14ac:dyDescent="0.25">
      <c r="A322" s="45">
        <v>1028</v>
      </c>
      <c r="B322" s="45" t="s">
        <v>463</v>
      </c>
      <c r="C322" s="59">
        <f t="shared" si="10"/>
        <v>43126</v>
      </c>
      <c r="D322" s="46" t="str">
        <f t="shared" ref="D322:D385" si="11">CHOOSE(WEEKDAY(C322),"D","L","M","X","J","V","S")</f>
        <v>V</v>
      </c>
      <c r="E322" s="61">
        <f t="shared" ref="E322:E324" si="12">WEEKNUM(C322,21)</f>
        <v>4</v>
      </c>
      <c r="F322" s="45" t="s">
        <v>76</v>
      </c>
      <c r="G322" s="51">
        <v>28</v>
      </c>
      <c r="H322" s="51">
        <v>15</v>
      </c>
      <c r="I322" s="51">
        <v>24</v>
      </c>
      <c r="J322" s="51">
        <v>48</v>
      </c>
      <c r="K322" s="51">
        <v>6</v>
      </c>
      <c r="L322" s="51">
        <v>9</v>
      </c>
      <c r="M322" s="51">
        <v>4</v>
      </c>
      <c r="N322" s="60" t="s">
        <v>464</v>
      </c>
    </row>
    <row r="323" spans="1:14" x14ac:dyDescent="0.25">
      <c r="A323" s="45">
        <v>1029</v>
      </c>
      <c r="B323" s="45" t="s">
        <v>465</v>
      </c>
      <c r="C323" s="59">
        <f t="shared" si="10"/>
        <v>43130</v>
      </c>
      <c r="D323" s="46" t="str">
        <f t="shared" si="11"/>
        <v>M</v>
      </c>
      <c r="E323" s="61">
        <f t="shared" si="12"/>
        <v>5</v>
      </c>
      <c r="F323" s="45" t="s">
        <v>76</v>
      </c>
      <c r="G323" s="51">
        <v>11</v>
      </c>
      <c r="H323" s="51">
        <v>15</v>
      </c>
      <c r="I323" s="51">
        <v>35</v>
      </c>
      <c r="J323" s="51">
        <v>27</v>
      </c>
      <c r="K323" s="51">
        <v>21</v>
      </c>
      <c r="L323" s="51">
        <v>5</v>
      </c>
      <c r="M323" s="51">
        <v>4</v>
      </c>
      <c r="N323" s="60"/>
    </row>
    <row r="324" spans="1:14" x14ac:dyDescent="0.25">
      <c r="A324" s="45">
        <v>1030</v>
      </c>
      <c r="B324" s="45" t="s">
        <v>466</v>
      </c>
      <c r="C324" s="59">
        <f t="shared" si="10"/>
        <v>43133</v>
      </c>
      <c r="D324" s="46" t="str">
        <f t="shared" si="11"/>
        <v>V</v>
      </c>
      <c r="E324" s="61">
        <f t="shared" si="12"/>
        <v>5</v>
      </c>
      <c r="F324" s="45" t="s">
        <v>76</v>
      </c>
      <c r="G324" s="51">
        <v>36</v>
      </c>
      <c r="H324" s="51">
        <v>39</v>
      </c>
      <c r="I324" s="51">
        <v>34</v>
      </c>
      <c r="J324" s="51">
        <v>14</v>
      </c>
      <c r="K324" s="51">
        <v>48</v>
      </c>
      <c r="L324" s="51">
        <v>2</v>
      </c>
      <c r="M324" s="51">
        <v>3</v>
      </c>
      <c r="N324" s="60" t="s">
        <v>467</v>
      </c>
    </row>
    <row r="325" spans="1:14" x14ac:dyDescent="0.25">
      <c r="A325" s="45">
        <v>1031</v>
      </c>
      <c r="B325" s="45" t="s">
        <v>468</v>
      </c>
      <c r="C325" s="59">
        <f t="shared" si="10"/>
        <v>43137</v>
      </c>
      <c r="D325" s="46" t="str">
        <f t="shared" si="11"/>
        <v>M</v>
      </c>
      <c r="E325" s="61">
        <f>WEEKNUM(C325,21)</f>
        <v>6</v>
      </c>
      <c r="F325" s="45" t="s">
        <v>76</v>
      </c>
      <c r="G325" s="51">
        <v>8</v>
      </c>
      <c r="H325" s="51">
        <v>28</v>
      </c>
      <c r="I325" s="51">
        <v>17</v>
      </c>
      <c r="J325" s="51">
        <v>38</v>
      </c>
      <c r="K325" s="51">
        <v>34</v>
      </c>
      <c r="L325" s="51">
        <v>6</v>
      </c>
      <c r="M325" s="51">
        <v>12</v>
      </c>
      <c r="N325" s="60"/>
    </row>
    <row r="326" spans="1:14" x14ac:dyDescent="0.25">
      <c r="A326" s="45">
        <v>1032</v>
      </c>
      <c r="B326" s="45" t="s">
        <v>469</v>
      </c>
      <c r="C326" s="59">
        <f t="shared" si="10"/>
        <v>43140</v>
      </c>
      <c r="D326" s="46" t="str">
        <f t="shared" si="11"/>
        <v>V</v>
      </c>
      <c r="E326" s="61">
        <f t="shared" ref="E326" si="13">WEEKNUM(C326,21)</f>
        <v>6</v>
      </c>
      <c r="F326" s="45" t="s">
        <v>76</v>
      </c>
      <c r="G326" s="51">
        <v>38</v>
      </c>
      <c r="H326" s="51">
        <v>22</v>
      </c>
      <c r="I326" s="51">
        <v>31</v>
      </c>
      <c r="J326" s="51">
        <v>44</v>
      </c>
      <c r="K326" s="51">
        <v>36</v>
      </c>
      <c r="L326" s="51">
        <v>11</v>
      </c>
      <c r="M326" s="51">
        <v>1</v>
      </c>
      <c r="N326" s="60" t="s">
        <v>470</v>
      </c>
    </row>
    <row r="327" spans="1:14" x14ac:dyDescent="0.25">
      <c r="A327" s="45">
        <v>1033</v>
      </c>
      <c r="B327" s="45" t="s">
        <v>471</v>
      </c>
      <c r="C327" s="59">
        <f t="shared" si="10"/>
        <v>43144</v>
      </c>
      <c r="D327" s="46" t="str">
        <f t="shared" si="11"/>
        <v>M</v>
      </c>
      <c r="E327" s="61">
        <f>WEEKNUM(C327,21)</f>
        <v>7</v>
      </c>
      <c r="F327" s="45" t="s">
        <v>76</v>
      </c>
      <c r="G327" s="51">
        <v>13</v>
      </c>
      <c r="H327" s="51">
        <v>44</v>
      </c>
      <c r="I327" s="51">
        <v>10</v>
      </c>
      <c r="J327" s="51">
        <v>21</v>
      </c>
      <c r="K327" s="51">
        <v>17</v>
      </c>
      <c r="L327" s="51">
        <v>10</v>
      </c>
      <c r="M327" s="51">
        <v>1</v>
      </c>
      <c r="N327" s="60"/>
    </row>
    <row r="328" spans="1:14" x14ac:dyDescent="0.25">
      <c r="A328" s="45">
        <v>1034</v>
      </c>
      <c r="B328" s="45" t="s">
        <v>472</v>
      </c>
      <c r="C328" s="59">
        <f t="shared" si="10"/>
        <v>43147</v>
      </c>
      <c r="D328" s="46" t="str">
        <f t="shared" si="11"/>
        <v>V</v>
      </c>
      <c r="E328" s="61">
        <f t="shared" ref="E328" si="14">WEEKNUM(C328,21)</f>
        <v>7</v>
      </c>
      <c r="F328" s="45" t="s">
        <v>76</v>
      </c>
      <c r="G328" s="51">
        <v>23</v>
      </c>
      <c r="H328" s="51">
        <v>32</v>
      </c>
      <c r="I328" s="51">
        <v>50</v>
      </c>
      <c r="J328" s="51">
        <v>12</v>
      </c>
      <c r="K328" s="51">
        <v>10</v>
      </c>
      <c r="L328" s="51">
        <v>10</v>
      </c>
      <c r="M328" s="51">
        <v>4</v>
      </c>
      <c r="N328" s="60" t="s">
        <v>473</v>
      </c>
    </row>
    <row r="329" spans="1:14" x14ac:dyDescent="0.25">
      <c r="A329" s="45">
        <v>1035</v>
      </c>
      <c r="B329" s="45" t="s">
        <v>474</v>
      </c>
      <c r="C329" s="59">
        <f t="shared" si="10"/>
        <v>43151</v>
      </c>
      <c r="D329" s="46" t="str">
        <f t="shared" si="11"/>
        <v>M</v>
      </c>
      <c r="E329" s="61">
        <f>WEEKNUM(C329,21)</f>
        <v>8</v>
      </c>
      <c r="F329" s="45" t="s">
        <v>76</v>
      </c>
      <c r="G329" s="51">
        <v>6</v>
      </c>
      <c r="H329" s="51">
        <v>25</v>
      </c>
      <c r="I329" s="51">
        <v>14</v>
      </c>
      <c r="J329" s="51">
        <v>19</v>
      </c>
      <c r="K329" s="51">
        <v>29</v>
      </c>
      <c r="L329" s="51">
        <v>11</v>
      </c>
      <c r="M329" s="51">
        <v>5</v>
      </c>
      <c r="N329" s="60"/>
    </row>
    <row r="330" spans="1:14" x14ac:dyDescent="0.25">
      <c r="A330" s="45">
        <v>1036</v>
      </c>
      <c r="B330" s="45" t="s">
        <v>475</v>
      </c>
      <c r="C330" s="59">
        <f t="shared" si="10"/>
        <v>43154</v>
      </c>
      <c r="D330" s="46" t="str">
        <f t="shared" si="11"/>
        <v>V</v>
      </c>
      <c r="E330" s="61">
        <f t="shared" ref="E330" si="15">WEEKNUM(C330,21)</f>
        <v>8</v>
      </c>
      <c r="F330" s="45" t="s">
        <v>76</v>
      </c>
      <c r="G330" s="51">
        <v>18</v>
      </c>
      <c r="H330" s="51">
        <v>17</v>
      </c>
      <c r="I330" s="51">
        <v>28</v>
      </c>
      <c r="J330" s="51">
        <v>47</v>
      </c>
      <c r="K330" s="51">
        <v>10</v>
      </c>
      <c r="L330" s="51">
        <v>3</v>
      </c>
      <c r="M330" s="51">
        <v>7</v>
      </c>
      <c r="N330" s="60" t="s">
        <v>322</v>
      </c>
    </row>
    <row r="331" spans="1:14" x14ac:dyDescent="0.25">
      <c r="A331" s="45">
        <v>1037</v>
      </c>
      <c r="B331" s="45" t="s">
        <v>476</v>
      </c>
      <c r="C331" s="59">
        <f t="shared" si="10"/>
        <v>43158</v>
      </c>
      <c r="D331" s="46" t="str">
        <f t="shared" si="11"/>
        <v>M</v>
      </c>
      <c r="E331" s="61">
        <f>WEEKNUM(C331,21)</f>
        <v>9</v>
      </c>
      <c r="F331" s="45" t="s">
        <v>76</v>
      </c>
      <c r="G331" s="51">
        <v>48</v>
      </c>
      <c r="H331" s="51">
        <v>31</v>
      </c>
      <c r="I331" s="51">
        <v>3</v>
      </c>
      <c r="J331" s="51">
        <v>41</v>
      </c>
      <c r="K331" s="51">
        <v>50</v>
      </c>
      <c r="L331" s="51">
        <v>11</v>
      </c>
      <c r="M331" s="51">
        <v>8</v>
      </c>
      <c r="N331" s="60"/>
    </row>
    <row r="332" spans="1:14" x14ac:dyDescent="0.25">
      <c r="A332" s="45">
        <v>1038</v>
      </c>
      <c r="B332" s="45" t="s">
        <v>477</v>
      </c>
      <c r="C332" s="59">
        <f t="shared" si="10"/>
        <v>43161</v>
      </c>
      <c r="D332" s="46" t="str">
        <f t="shared" si="11"/>
        <v>V</v>
      </c>
      <c r="E332" s="61">
        <f t="shared" ref="E332" si="16">WEEKNUM(C332,21)</f>
        <v>9</v>
      </c>
      <c r="F332" s="45" t="s">
        <v>76</v>
      </c>
      <c r="G332" s="51">
        <v>2</v>
      </c>
      <c r="H332" s="51">
        <v>7</v>
      </c>
      <c r="I332" s="51">
        <v>34</v>
      </c>
      <c r="J332" s="51">
        <v>48</v>
      </c>
      <c r="K332" s="51">
        <v>45</v>
      </c>
      <c r="L332" s="51">
        <v>1</v>
      </c>
      <c r="M332" s="51">
        <v>12</v>
      </c>
      <c r="N332" s="60" t="s">
        <v>478</v>
      </c>
    </row>
    <row r="333" spans="1:14" x14ac:dyDescent="0.25">
      <c r="A333" s="45">
        <v>1039</v>
      </c>
      <c r="B333" s="45" t="s">
        <v>479</v>
      </c>
      <c r="C333" s="59">
        <f t="shared" si="10"/>
        <v>43165</v>
      </c>
      <c r="D333" s="46" t="str">
        <f t="shared" si="11"/>
        <v>M</v>
      </c>
      <c r="E333" s="61">
        <f>WEEKNUM(C333,21)</f>
        <v>10</v>
      </c>
      <c r="F333" s="45" t="s">
        <v>76</v>
      </c>
      <c r="G333" s="51">
        <v>26</v>
      </c>
      <c r="H333" s="51">
        <v>44</v>
      </c>
      <c r="I333" s="51">
        <v>20</v>
      </c>
      <c r="J333" s="51">
        <v>31</v>
      </c>
      <c r="K333" s="51">
        <v>15</v>
      </c>
      <c r="L333" s="51">
        <v>2</v>
      </c>
      <c r="M333" s="51">
        <v>9</v>
      </c>
      <c r="N333" s="60"/>
    </row>
    <row r="334" spans="1:14" x14ac:dyDescent="0.25">
      <c r="A334" s="45">
        <v>1040</v>
      </c>
      <c r="B334" s="45" t="s">
        <v>480</v>
      </c>
      <c r="C334" s="59">
        <f t="shared" si="10"/>
        <v>43168</v>
      </c>
      <c r="D334" s="46" t="str">
        <f t="shared" si="11"/>
        <v>V</v>
      </c>
      <c r="E334" s="61">
        <f t="shared" ref="E334:E370" si="17">WEEKNUM(C334,21)</f>
        <v>10</v>
      </c>
      <c r="F334" s="45" t="s">
        <v>76</v>
      </c>
      <c r="G334" s="51">
        <v>44</v>
      </c>
      <c r="H334" s="51">
        <v>9</v>
      </c>
      <c r="I334" s="51">
        <v>14</v>
      </c>
      <c r="J334" s="51">
        <v>21</v>
      </c>
      <c r="K334" s="51">
        <v>32</v>
      </c>
      <c r="L334" s="51">
        <v>12</v>
      </c>
      <c r="M334" s="51">
        <v>1</v>
      </c>
      <c r="N334" s="60" t="s">
        <v>481</v>
      </c>
    </row>
    <row r="335" spans="1:14" x14ac:dyDescent="0.25">
      <c r="A335" s="45">
        <v>1041</v>
      </c>
      <c r="B335" s="45" t="s">
        <v>482</v>
      </c>
      <c r="C335" s="59">
        <f t="shared" si="10"/>
        <v>43172</v>
      </c>
      <c r="D335" s="46" t="str">
        <f t="shared" si="11"/>
        <v>M</v>
      </c>
      <c r="E335" s="61">
        <f t="shared" si="17"/>
        <v>11</v>
      </c>
      <c r="F335" s="45" t="s">
        <v>76</v>
      </c>
      <c r="G335" s="51">
        <v>11</v>
      </c>
      <c r="H335" s="51">
        <v>9</v>
      </c>
      <c r="I335" s="51">
        <v>13</v>
      </c>
      <c r="J335" s="51">
        <v>33</v>
      </c>
      <c r="K335" s="51">
        <v>49</v>
      </c>
      <c r="L335" s="51">
        <v>12</v>
      </c>
      <c r="M335" s="51">
        <v>6</v>
      </c>
      <c r="N335" s="60"/>
    </row>
    <row r="336" spans="1:14" x14ac:dyDescent="0.25">
      <c r="A336" s="45">
        <v>1042</v>
      </c>
      <c r="B336" s="45" t="s">
        <v>483</v>
      </c>
      <c r="C336" s="59">
        <f t="shared" si="10"/>
        <v>43175</v>
      </c>
      <c r="D336" s="46" t="str">
        <f t="shared" si="11"/>
        <v>V</v>
      </c>
      <c r="E336" s="61">
        <f t="shared" si="17"/>
        <v>11</v>
      </c>
      <c r="F336" s="45" t="s">
        <v>76</v>
      </c>
      <c r="G336" s="51">
        <v>31</v>
      </c>
      <c r="H336" s="51">
        <v>4</v>
      </c>
      <c r="I336" s="51">
        <v>27</v>
      </c>
      <c r="J336" s="51">
        <v>24</v>
      </c>
      <c r="K336" s="51">
        <v>17</v>
      </c>
      <c r="L336" s="51">
        <v>11</v>
      </c>
      <c r="M336" s="51">
        <v>10</v>
      </c>
      <c r="N336" s="60" t="s">
        <v>484</v>
      </c>
    </row>
    <row r="337" spans="1:14" x14ac:dyDescent="0.25">
      <c r="A337" s="45">
        <v>1043</v>
      </c>
      <c r="B337" s="45" t="s">
        <v>485</v>
      </c>
      <c r="C337" s="59">
        <f t="shared" si="10"/>
        <v>43179</v>
      </c>
      <c r="D337" s="46" t="str">
        <f t="shared" si="11"/>
        <v>M</v>
      </c>
      <c r="E337" s="61">
        <f t="shared" si="17"/>
        <v>12</v>
      </c>
      <c r="F337" s="45" t="s">
        <v>76</v>
      </c>
      <c r="G337" s="51">
        <v>44</v>
      </c>
      <c r="H337" s="51">
        <v>39</v>
      </c>
      <c r="I337" s="51">
        <v>29</v>
      </c>
      <c r="J337" s="51">
        <v>26</v>
      </c>
      <c r="K337" s="51">
        <v>37</v>
      </c>
      <c r="L337" s="51">
        <v>9</v>
      </c>
      <c r="M337" s="51">
        <v>11</v>
      </c>
      <c r="N337" s="60"/>
    </row>
    <row r="338" spans="1:14" x14ac:dyDescent="0.25">
      <c r="A338" s="45">
        <v>1044</v>
      </c>
      <c r="B338" s="45" t="s">
        <v>486</v>
      </c>
      <c r="C338" s="59">
        <f t="shared" si="10"/>
        <v>43182</v>
      </c>
      <c r="D338" s="46" t="str">
        <f t="shared" si="11"/>
        <v>V</v>
      </c>
      <c r="E338" s="61">
        <f t="shared" si="17"/>
        <v>12</v>
      </c>
      <c r="F338" s="45" t="s">
        <v>76</v>
      </c>
      <c r="G338" s="51">
        <v>46</v>
      </c>
      <c r="H338" s="51">
        <v>5</v>
      </c>
      <c r="I338" s="51">
        <v>50</v>
      </c>
      <c r="J338" s="51">
        <v>7</v>
      </c>
      <c r="K338" s="51">
        <v>11</v>
      </c>
      <c r="L338" s="51">
        <v>11</v>
      </c>
      <c r="M338" s="51">
        <v>8</v>
      </c>
      <c r="N338" s="60" t="s">
        <v>487</v>
      </c>
    </row>
    <row r="339" spans="1:14" x14ac:dyDescent="0.25">
      <c r="A339" s="45">
        <v>1045</v>
      </c>
      <c r="B339" s="45" t="s">
        <v>488</v>
      </c>
      <c r="C339" s="59">
        <f t="shared" si="10"/>
        <v>43186</v>
      </c>
      <c r="D339" s="46" t="str">
        <f t="shared" si="11"/>
        <v>M</v>
      </c>
      <c r="E339" s="61">
        <f t="shared" si="17"/>
        <v>13</v>
      </c>
      <c r="F339" s="45" t="s">
        <v>76</v>
      </c>
      <c r="G339" s="51">
        <v>46</v>
      </c>
      <c r="H339" s="51">
        <v>40</v>
      </c>
      <c r="I339" s="51">
        <v>20</v>
      </c>
      <c r="J339" s="51">
        <v>23</v>
      </c>
      <c r="K339" s="51">
        <v>17</v>
      </c>
      <c r="L339" s="51">
        <v>9</v>
      </c>
      <c r="M339" s="51">
        <v>10</v>
      </c>
      <c r="N339" s="60"/>
    </row>
    <row r="340" spans="1:14" x14ac:dyDescent="0.25">
      <c r="A340" s="45">
        <v>1046</v>
      </c>
      <c r="B340" s="45" t="s">
        <v>489</v>
      </c>
      <c r="C340" s="59">
        <f t="shared" si="10"/>
        <v>43189</v>
      </c>
      <c r="D340" s="46" t="str">
        <f t="shared" si="11"/>
        <v>V</v>
      </c>
      <c r="E340" s="61">
        <f t="shared" si="17"/>
        <v>13</v>
      </c>
      <c r="F340" s="45" t="s">
        <v>76</v>
      </c>
      <c r="G340" s="51">
        <v>35</v>
      </c>
      <c r="H340" s="51">
        <v>47</v>
      </c>
      <c r="I340" s="51">
        <v>28</v>
      </c>
      <c r="J340" s="51">
        <v>17</v>
      </c>
      <c r="K340" s="51">
        <v>12</v>
      </c>
      <c r="L340" s="51">
        <v>7</v>
      </c>
      <c r="M340" s="51">
        <v>11</v>
      </c>
      <c r="N340" s="60" t="s">
        <v>490</v>
      </c>
    </row>
    <row r="341" spans="1:14" x14ac:dyDescent="0.25">
      <c r="A341" s="45">
        <v>1047</v>
      </c>
      <c r="B341" s="45" t="s">
        <v>491</v>
      </c>
      <c r="C341" s="59">
        <f t="shared" si="10"/>
        <v>43193</v>
      </c>
      <c r="D341" s="46" t="str">
        <f t="shared" si="11"/>
        <v>M</v>
      </c>
      <c r="E341" s="61">
        <f t="shared" si="17"/>
        <v>14</v>
      </c>
      <c r="F341" s="45" t="s">
        <v>76</v>
      </c>
      <c r="G341" s="51">
        <v>43</v>
      </c>
      <c r="H341" s="51">
        <v>3</v>
      </c>
      <c r="I341" s="51">
        <v>40</v>
      </c>
      <c r="J341" s="51">
        <v>16</v>
      </c>
      <c r="K341" s="51">
        <v>8</v>
      </c>
      <c r="L341" s="51">
        <v>8</v>
      </c>
      <c r="M341" s="51">
        <v>5</v>
      </c>
      <c r="N341" s="60"/>
    </row>
    <row r="342" spans="1:14" x14ac:dyDescent="0.25">
      <c r="A342" s="45">
        <v>1048</v>
      </c>
      <c r="B342" s="45" t="s">
        <v>492</v>
      </c>
      <c r="C342" s="59">
        <f t="shared" si="10"/>
        <v>43196</v>
      </c>
      <c r="D342" s="46" t="str">
        <f t="shared" si="11"/>
        <v>V</v>
      </c>
      <c r="E342" s="61">
        <f t="shared" si="17"/>
        <v>14</v>
      </c>
      <c r="F342" s="45" t="s">
        <v>76</v>
      </c>
      <c r="G342" s="51">
        <v>45</v>
      </c>
      <c r="H342" s="51">
        <v>47</v>
      </c>
      <c r="I342" s="51">
        <v>29</v>
      </c>
      <c r="J342" s="51">
        <v>33</v>
      </c>
      <c r="K342" s="51">
        <v>1</v>
      </c>
      <c r="L342" s="51">
        <v>4</v>
      </c>
      <c r="M342" s="51">
        <v>8</v>
      </c>
      <c r="N342" s="60" t="s">
        <v>493</v>
      </c>
    </row>
    <row r="343" spans="1:14" x14ac:dyDescent="0.25">
      <c r="A343" s="45">
        <v>1049</v>
      </c>
      <c r="B343" s="45" t="s">
        <v>494</v>
      </c>
      <c r="C343" s="59">
        <f t="shared" si="10"/>
        <v>43200</v>
      </c>
      <c r="D343" s="46" t="str">
        <f t="shared" si="11"/>
        <v>M</v>
      </c>
      <c r="E343" s="61">
        <f t="shared" si="17"/>
        <v>15</v>
      </c>
      <c r="F343" s="45" t="s">
        <v>76</v>
      </c>
      <c r="G343" s="51">
        <v>48</v>
      </c>
      <c r="H343" s="51">
        <v>14</v>
      </c>
      <c r="I343" s="51">
        <v>39</v>
      </c>
      <c r="J343" s="51">
        <v>46</v>
      </c>
      <c r="K343" s="51">
        <v>27</v>
      </c>
      <c r="L343" s="51">
        <v>11</v>
      </c>
      <c r="M343" s="51">
        <v>12</v>
      </c>
      <c r="N343" s="60"/>
    </row>
    <row r="344" spans="1:14" x14ac:dyDescent="0.25">
      <c r="A344" s="45">
        <v>1050</v>
      </c>
      <c r="B344" s="45" t="s">
        <v>495</v>
      </c>
      <c r="C344" s="59">
        <f t="shared" si="10"/>
        <v>43203</v>
      </c>
      <c r="D344" s="46" t="str">
        <f t="shared" si="11"/>
        <v>V</v>
      </c>
      <c r="E344" s="61">
        <f t="shared" si="17"/>
        <v>15</v>
      </c>
      <c r="F344" s="45" t="s">
        <v>76</v>
      </c>
      <c r="G344" s="51">
        <v>48</v>
      </c>
      <c r="H344" s="51">
        <v>50</v>
      </c>
      <c r="I344" s="51">
        <v>34</v>
      </c>
      <c r="J344" s="51">
        <v>25</v>
      </c>
      <c r="K344" s="51">
        <v>5</v>
      </c>
      <c r="L344" s="51">
        <v>7</v>
      </c>
      <c r="M344" s="51">
        <v>6</v>
      </c>
      <c r="N344" s="60" t="s">
        <v>496</v>
      </c>
    </row>
    <row r="345" spans="1:14" x14ac:dyDescent="0.25">
      <c r="A345" s="45">
        <v>1051</v>
      </c>
      <c r="B345" s="45" t="s">
        <v>497</v>
      </c>
      <c r="C345" s="59">
        <f t="shared" si="10"/>
        <v>43207</v>
      </c>
      <c r="D345" s="46" t="str">
        <f t="shared" si="11"/>
        <v>M</v>
      </c>
      <c r="E345" s="61">
        <f t="shared" si="17"/>
        <v>16</v>
      </c>
      <c r="F345" s="45" t="s">
        <v>76</v>
      </c>
      <c r="G345" s="51">
        <v>39</v>
      </c>
      <c r="H345" s="51">
        <v>15</v>
      </c>
      <c r="I345" s="51">
        <v>33</v>
      </c>
      <c r="J345" s="51">
        <v>27</v>
      </c>
      <c r="K345" s="51">
        <v>50</v>
      </c>
      <c r="L345" s="51">
        <v>6</v>
      </c>
      <c r="M345" s="51">
        <v>4</v>
      </c>
      <c r="N345" s="60"/>
    </row>
    <row r="346" spans="1:14" x14ac:dyDescent="0.25">
      <c r="A346" s="45">
        <v>1052</v>
      </c>
      <c r="B346" s="45" t="s">
        <v>498</v>
      </c>
      <c r="C346" s="59">
        <f t="shared" si="10"/>
        <v>43210</v>
      </c>
      <c r="D346" s="46" t="str">
        <f t="shared" si="11"/>
        <v>V</v>
      </c>
      <c r="E346" s="61">
        <f t="shared" si="17"/>
        <v>16</v>
      </c>
      <c r="F346" s="45" t="s">
        <v>76</v>
      </c>
      <c r="G346" s="51">
        <v>44</v>
      </c>
      <c r="H346" s="51">
        <v>39</v>
      </c>
      <c r="I346" s="51">
        <v>3</v>
      </c>
      <c r="J346" s="51">
        <v>25</v>
      </c>
      <c r="K346" s="51">
        <v>16</v>
      </c>
      <c r="L346" s="51">
        <v>11</v>
      </c>
      <c r="M346" s="51">
        <v>7</v>
      </c>
      <c r="N346" s="60" t="s">
        <v>499</v>
      </c>
    </row>
    <row r="347" spans="1:14" x14ac:dyDescent="0.25">
      <c r="A347" s="45">
        <v>1053</v>
      </c>
      <c r="B347" s="45" t="s">
        <v>500</v>
      </c>
      <c r="C347" s="59">
        <f t="shared" si="10"/>
        <v>43214</v>
      </c>
      <c r="D347" s="46" t="str">
        <f t="shared" si="11"/>
        <v>M</v>
      </c>
      <c r="E347" s="61">
        <f t="shared" si="17"/>
        <v>17</v>
      </c>
      <c r="F347" s="45" t="s">
        <v>76</v>
      </c>
      <c r="G347" s="51">
        <v>28</v>
      </c>
      <c r="H347" s="51">
        <v>44</v>
      </c>
      <c r="I347" s="51">
        <v>30</v>
      </c>
      <c r="J347" s="51">
        <v>23</v>
      </c>
      <c r="K347" s="51">
        <v>20</v>
      </c>
      <c r="L347" s="51">
        <v>3</v>
      </c>
      <c r="M347" s="51">
        <v>7</v>
      </c>
      <c r="N347" s="60"/>
    </row>
    <row r="348" spans="1:14" x14ac:dyDescent="0.25">
      <c r="A348" s="45">
        <v>1054</v>
      </c>
      <c r="B348" s="45" t="s">
        <v>501</v>
      </c>
      <c r="C348" s="59">
        <f t="shared" si="10"/>
        <v>43217</v>
      </c>
      <c r="D348" s="46" t="str">
        <f t="shared" si="11"/>
        <v>V</v>
      </c>
      <c r="E348" s="61">
        <f t="shared" si="17"/>
        <v>17</v>
      </c>
      <c r="F348" s="45" t="s">
        <v>76</v>
      </c>
      <c r="G348" s="51">
        <v>24</v>
      </c>
      <c r="H348" s="51">
        <v>40</v>
      </c>
      <c r="I348" s="51">
        <v>12</v>
      </c>
      <c r="J348" s="51">
        <v>41</v>
      </c>
      <c r="K348" s="51">
        <v>46</v>
      </c>
      <c r="L348" s="51">
        <v>5</v>
      </c>
      <c r="M348" s="51">
        <v>12</v>
      </c>
      <c r="N348" s="60" t="s">
        <v>502</v>
      </c>
    </row>
    <row r="349" spans="1:14" x14ac:dyDescent="0.25">
      <c r="A349" s="45">
        <v>1055</v>
      </c>
      <c r="B349" s="45" t="s">
        <v>503</v>
      </c>
      <c r="C349" s="59">
        <f t="shared" si="10"/>
        <v>43221</v>
      </c>
      <c r="D349" s="46" t="str">
        <f t="shared" si="11"/>
        <v>M</v>
      </c>
      <c r="E349" s="61">
        <f t="shared" si="17"/>
        <v>18</v>
      </c>
      <c r="F349" s="45" t="s">
        <v>76</v>
      </c>
      <c r="G349" s="51">
        <v>48</v>
      </c>
      <c r="H349" s="51">
        <v>42</v>
      </c>
      <c r="I349" s="51">
        <v>15</v>
      </c>
      <c r="J349" s="51">
        <v>17</v>
      </c>
      <c r="K349" s="51">
        <v>6</v>
      </c>
      <c r="L349" s="51">
        <v>4</v>
      </c>
      <c r="M349" s="51">
        <v>6</v>
      </c>
      <c r="N349" s="60"/>
    </row>
    <row r="350" spans="1:14" x14ac:dyDescent="0.25">
      <c r="A350" s="45">
        <v>1056</v>
      </c>
      <c r="B350" s="45" t="s">
        <v>504</v>
      </c>
      <c r="C350" s="59">
        <f t="shared" si="10"/>
        <v>43224</v>
      </c>
      <c r="D350" s="46" t="str">
        <f t="shared" si="11"/>
        <v>V</v>
      </c>
      <c r="E350" s="61">
        <f t="shared" si="17"/>
        <v>18</v>
      </c>
      <c r="F350" s="45" t="s">
        <v>76</v>
      </c>
      <c r="G350" s="51">
        <v>23</v>
      </c>
      <c r="H350" s="51">
        <v>6</v>
      </c>
      <c r="I350" s="51">
        <v>12</v>
      </c>
      <c r="J350" s="51">
        <v>45</v>
      </c>
      <c r="K350" s="51">
        <v>39</v>
      </c>
      <c r="L350" s="51">
        <v>12</v>
      </c>
      <c r="M350" s="51">
        <v>9</v>
      </c>
      <c r="N350" s="60" t="s">
        <v>505</v>
      </c>
    </row>
    <row r="351" spans="1:14" x14ac:dyDescent="0.25">
      <c r="A351" s="45">
        <v>1057</v>
      </c>
      <c r="B351" s="45" t="s">
        <v>506</v>
      </c>
      <c r="C351" s="59">
        <f t="shared" si="10"/>
        <v>43228</v>
      </c>
      <c r="D351" s="46" t="str">
        <f t="shared" si="11"/>
        <v>M</v>
      </c>
      <c r="E351" s="61">
        <f t="shared" si="17"/>
        <v>19</v>
      </c>
      <c r="F351" s="45" t="s">
        <v>76</v>
      </c>
      <c r="G351" s="51">
        <v>17</v>
      </c>
      <c r="H351" s="51">
        <v>35</v>
      </c>
      <c r="I351" s="51">
        <v>25</v>
      </c>
      <c r="J351" s="51">
        <v>39</v>
      </c>
      <c r="K351" s="51">
        <v>44</v>
      </c>
      <c r="L351" s="51">
        <v>5</v>
      </c>
      <c r="M351" s="51">
        <v>2</v>
      </c>
      <c r="N351" s="60"/>
    </row>
    <row r="352" spans="1:14" x14ac:dyDescent="0.25">
      <c r="A352" s="45">
        <v>1058</v>
      </c>
      <c r="B352" s="45" t="s">
        <v>507</v>
      </c>
      <c r="C352" s="59">
        <f t="shared" si="10"/>
        <v>43231</v>
      </c>
      <c r="D352" s="46" t="str">
        <f t="shared" si="11"/>
        <v>V</v>
      </c>
      <c r="E352" s="61">
        <f t="shared" si="17"/>
        <v>19</v>
      </c>
      <c r="F352" s="45" t="s">
        <v>76</v>
      </c>
      <c r="G352" s="51">
        <v>22</v>
      </c>
      <c r="H352" s="51">
        <v>34</v>
      </c>
      <c r="I352" s="51">
        <v>3</v>
      </c>
      <c r="J352" s="51">
        <v>50</v>
      </c>
      <c r="K352" s="51">
        <v>49</v>
      </c>
      <c r="L352" s="51">
        <v>11</v>
      </c>
      <c r="M352" s="51">
        <v>8</v>
      </c>
      <c r="N352" s="60" t="s">
        <v>508</v>
      </c>
    </row>
    <row r="353" spans="1:14" x14ac:dyDescent="0.25">
      <c r="A353" s="45">
        <v>1059</v>
      </c>
      <c r="B353" s="45" t="s">
        <v>509</v>
      </c>
      <c r="C353" s="59">
        <f t="shared" si="10"/>
        <v>43235</v>
      </c>
      <c r="D353" s="46" t="str">
        <f t="shared" si="11"/>
        <v>M</v>
      </c>
      <c r="E353" s="61">
        <f t="shared" si="17"/>
        <v>20</v>
      </c>
      <c r="F353" s="45" t="s">
        <v>76</v>
      </c>
      <c r="G353" s="51">
        <v>20</v>
      </c>
      <c r="H353" s="51">
        <v>16</v>
      </c>
      <c r="I353" s="51">
        <v>4</v>
      </c>
      <c r="J353" s="51">
        <v>31</v>
      </c>
      <c r="K353" s="51">
        <v>39</v>
      </c>
      <c r="L353" s="51">
        <v>2</v>
      </c>
      <c r="M353" s="51">
        <v>12</v>
      </c>
      <c r="N353" s="60"/>
    </row>
    <row r="354" spans="1:14" x14ac:dyDescent="0.25">
      <c r="A354" s="45">
        <v>1060</v>
      </c>
      <c r="B354" s="45" t="s">
        <v>510</v>
      </c>
      <c r="C354" s="59">
        <f t="shared" si="10"/>
        <v>43238</v>
      </c>
      <c r="D354" s="46" t="str">
        <f t="shared" si="11"/>
        <v>V</v>
      </c>
      <c r="E354" s="61">
        <f t="shared" si="17"/>
        <v>20</v>
      </c>
      <c r="F354" s="45" t="s">
        <v>76</v>
      </c>
      <c r="G354" s="51">
        <v>8</v>
      </c>
      <c r="H354" s="51">
        <v>31</v>
      </c>
      <c r="I354" s="51">
        <v>5</v>
      </c>
      <c r="J354" s="51">
        <v>10</v>
      </c>
      <c r="K354" s="51">
        <v>13</v>
      </c>
      <c r="L354" s="51">
        <v>6</v>
      </c>
      <c r="M354" s="51">
        <v>3</v>
      </c>
      <c r="N354" s="60" t="s">
        <v>511</v>
      </c>
    </row>
    <row r="355" spans="1:14" x14ac:dyDescent="0.25">
      <c r="A355" s="45">
        <v>1061</v>
      </c>
      <c r="B355" s="45" t="s">
        <v>512</v>
      </c>
      <c r="C355" s="59">
        <v>43242</v>
      </c>
      <c r="D355" s="46" t="str">
        <f t="shared" si="11"/>
        <v>M</v>
      </c>
      <c r="E355" s="61">
        <f t="shared" si="17"/>
        <v>21</v>
      </c>
      <c r="F355" s="45" t="s">
        <v>76</v>
      </c>
      <c r="G355" s="51">
        <v>48</v>
      </c>
      <c r="H355" s="51">
        <v>11</v>
      </c>
      <c r="I355" s="51">
        <v>1</v>
      </c>
      <c r="J355" s="51">
        <v>37</v>
      </c>
      <c r="K355" s="51">
        <v>41</v>
      </c>
      <c r="L355" s="51">
        <v>8</v>
      </c>
      <c r="M355" s="51">
        <v>12</v>
      </c>
      <c r="N355" s="60"/>
    </row>
    <row r="356" spans="1:14" x14ac:dyDescent="0.25">
      <c r="A356" s="45">
        <v>1062</v>
      </c>
      <c r="B356" s="45" t="s">
        <v>513</v>
      </c>
      <c r="C356" s="59">
        <v>43245</v>
      </c>
      <c r="D356" s="46" t="str">
        <f t="shared" si="11"/>
        <v>V</v>
      </c>
      <c r="E356" s="61">
        <f t="shared" si="17"/>
        <v>21</v>
      </c>
      <c r="F356" s="45" t="s">
        <v>76</v>
      </c>
      <c r="G356" s="51">
        <v>13</v>
      </c>
      <c r="H356" s="51">
        <v>16</v>
      </c>
      <c r="I356" s="51">
        <v>15</v>
      </c>
      <c r="J356" s="51">
        <v>41</v>
      </c>
      <c r="K356" s="51">
        <v>28</v>
      </c>
      <c r="L356" s="51">
        <v>4</v>
      </c>
      <c r="M356" s="51">
        <v>5</v>
      </c>
      <c r="N356" s="60" t="s">
        <v>514</v>
      </c>
    </row>
    <row r="357" spans="1:14" x14ac:dyDescent="0.25">
      <c r="A357" s="45">
        <v>1063</v>
      </c>
      <c r="B357" s="45" t="s">
        <v>515</v>
      </c>
      <c r="C357" s="59">
        <f t="shared" ref="C357:C360" si="18">+C355+7</f>
        <v>43249</v>
      </c>
      <c r="D357" s="46" t="str">
        <f t="shared" si="11"/>
        <v>M</v>
      </c>
      <c r="E357" s="61">
        <f t="shared" si="17"/>
        <v>22</v>
      </c>
      <c r="F357" s="45" t="s">
        <v>76</v>
      </c>
      <c r="G357" s="51">
        <v>13</v>
      </c>
      <c r="H357" s="51">
        <v>16</v>
      </c>
      <c r="I357" s="51">
        <v>15</v>
      </c>
      <c r="J357" s="51">
        <v>41</v>
      </c>
      <c r="K357" s="51">
        <v>28</v>
      </c>
      <c r="L357" s="51">
        <v>4</v>
      </c>
      <c r="M357" s="51">
        <v>5</v>
      </c>
      <c r="N357" s="60"/>
    </row>
    <row r="358" spans="1:14" x14ac:dyDescent="0.25">
      <c r="A358" s="45">
        <v>1064</v>
      </c>
      <c r="B358" s="45" t="s">
        <v>516</v>
      </c>
      <c r="C358" s="59">
        <f t="shared" si="18"/>
        <v>43252</v>
      </c>
      <c r="D358" s="46" t="str">
        <f t="shared" si="11"/>
        <v>V</v>
      </c>
      <c r="E358" s="61">
        <f t="shared" si="17"/>
        <v>22</v>
      </c>
      <c r="F358" s="45" t="s">
        <v>76</v>
      </c>
      <c r="G358" s="51">
        <v>20</v>
      </c>
      <c r="H358" s="51">
        <v>43</v>
      </c>
      <c r="I358" s="51">
        <v>6</v>
      </c>
      <c r="J358" s="51">
        <v>38</v>
      </c>
      <c r="K358" s="51">
        <v>11</v>
      </c>
      <c r="L358" s="51">
        <v>4</v>
      </c>
      <c r="M358" s="51">
        <v>2</v>
      </c>
      <c r="N358" s="60" t="s">
        <v>517</v>
      </c>
    </row>
    <row r="359" spans="1:14" x14ac:dyDescent="0.25">
      <c r="A359" s="45">
        <v>1065</v>
      </c>
      <c r="B359" s="45" t="s">
        <v>518</v>
      </c>
      <c r="C359" s="59">
        <f t="shared" si="18"/>
        <v>43256</v>
      </c>
      <c r="D359" s="46" t="str">
        <f t="shared" si="11"/>
        <v>M</v>
      </c>
      <c r="E359" s="61">
        <f t="shared" si="17"/>
        <v>23</v>
      </c>
      <c r="F359" s="45" t="s">
        <v>76</v>
      </c>
      <c r="G359" s="51">
        <v>29</v>
      </c>
      <c r="H359" s="51">
        <v>17</v>
      </c>
      <c r="I359" s="51">
        <v>40</v>
      </c>
      <c r="J359" s="51">
        <v>24</v>
      </c>
      <c r="K359" s="51">
        <v>18</v>
      </c>
      <c r="L359" s="51">
        <v>4</v>
      </c>
      <c r="M359" s="51">
        <v>5</v>
      </c>
      <c r="N359" s="60"/>
    </row>
    <row r="360" spans="1:14" x14ac:dyDescent="0.25">
      <c r="A360" s="45">
        <v>1066</v>
      </c>
      <c r="B360" s="45" t="s">
        <v>519</v>
      </c>
      <c r="C360" s="59">
        <f t="shared" si="18"/>
        <v>43259</v>
      </c>
      <c r="D360" s="46" t="str">
        <f t="shared" si="11"/>
        <v>V</v>
      </c>
      <c r="E360" s="61">
        <f t="shared" si="17"/>
        <v>23</v>
      </c>
      <c r="F360" s="45" t="s">
        <v>76</v>
      </c>
      <c r="G360" s="51">
        <v>43</v>
      </c>
      <c r="H360" s="51">
        <v>46</v>
      </c>
      <c r="I360" s="51">
        <v>8</v>
      </c>
      <c r="J360" s="51">
        <v>32</v>
      </c>
      <c r="K360" s="51">
        <v>19</v>
      </c>
      <c r="L360" s="51">
        <v>8</v>
      </c>
      <c r="M360" s="51">
        <v>2</v>
      </c>
      <c r="N360" s="60" t="s">
        <v>520</v>
      </c>
    </row>
    <row r="361" spans="1:14" x14ac:dyDescent="0.25">
      <c r="A361" s="45">
        <v>1067</v>
      </c>
      <c r="B361" s="45" t="s">
        <v>521</v>
      </c>
      <c r="C361" s="59">
        <v>43263</v>
      </c>
      <c r="D361" s="46" t="str">
        <f t="shared" si="11"/>
        <v>M</v>
      </c>
      <c r="E361" s="61">
        <f t="shared" si="17"/>
        <v>24</v>
      </c>
      <c r="F361" s="45" t="s">
        <v>76</v>
      </c>
      <c r="G361" s="51">
        <v>7</v>
      </c>
      <c r="H361" s="51">
        <v>21</v>
      </c>
      <c r="I361" s="51">
        <v>23</v>
      </c>
      <c r="J361" s="51">
        <v>36</v>
      </c>
      <c r="K361" s="51">
        <v>38</v>
      </c>
      <c r="L361" s="51">
        <v>6</v>
      </c>
      <c r="M361" s="51">
        <v>8</v>
      </c>
      <c r="N361" s="60"/>
    </row>
    <row r="362" spans="1:14" x14ac:dyDescent="0.25">
      <c r="A362" s="45">
        <v>1068</v>
      </c>
      <c r="B362" s="45" t="s">
        <v>522</v>
      </c>
      <c r="C362" s="59">
        <v>43266</v>
      </c>
      <c r="D362" s="46" t="str">
        <f t="shared" si="11"/>
        <v>V</v>
      </c>
      <c r="E362" s="61">
        <f t="shared" si="17"/>
        <v>24</v>
      </c>
      <c r="F362" s="45" t="s">
        <v>76</v>
      </c>
      <c r="G362" s="51">
        <v>26</v>
      </c>
      <c r="H362" s="51">
        <v>23</v>
      </c>
      <c r="I362" s="51">
        <v>49</v>
      </c>
      <c r="J362" s="51">
        <v>33</v>
      </c>
      <c r="K362" s="51">
        <v>38</v>
      </c>
      <c r="L362" s="51">
        <v>1</v>
      </c>
      <c r="M362" s="51">
        <v>12</v>
      </c>
      <c r="N362" s="60" t="s">
        <v>523</v>
      </c>
    </row>
    <row r="363" spans="1:14" x14ac:dyDescent="0.25">
      <c r="A363" s="45">
        <v>1069</v>
      </c>
      <c r="B363" s="45" t="s">
        <v>524</v>
      </c>
      <c r="C363" s="59">
        <v>43270</v>
      </c>
      <c r="D363" s="46" t="str">
        <f t="shared" si="11"/>
        <v>M</v>
      </c>
      <c r="E363" s="61">
        <f t="shared" si="17"/>
        <v>25</v>
      </c>
      <c r="F363" s="45" t="s">
        <v>76</v>
      </c>
      <c r="G363" s="51">
        <v>26</v>
      </c>
      <c r="H363" s="51">
        <v>7</v>
      </c>
      <c r="I363" s="51">
        <v>19</v>
      </c>
      <c r="J363" s="51">
        <v>50</v>
      </c>
      <c r="K363" s="51">
        <v>42</v>
      </c>
      <c r="L363" s="51">
        <v>9</v>
      </c>
      <c r="M363" s="51">
        <v>4</v>
      </c>
      <c r="N363" s="60"/>
    </row>
    <row r="364" spans="1:14" x14ac:dyDescent="0.25">
      <c r="A364" s="45">
        <v>1070</v>
      </c>
      <c r="B364" s="45" t="s">
        <v>525</v>
      </c>
      <c r="C364" s="59">
        <v>43273</v>
      </c>
      <c r="D364" s="46" t="str">
        <f t="shared" si="11"/>
        <v>V</v>
      </c>
      <c r="E364" s="61">
        <f t="shared" si="17"/>
        <v>25</v>
      </c>
      <c r="F364" s="45" t="s">
        <v>76</v>
      </c>
      <c r="G364" s="51">
        <v>44</v>
      </c>
      <c r="H364" s="51">
        <v>39</v>
      </c>
      <c r="I364" s="51">
        <v>41</v>
      </c>
      <c r="J364" s="51">
        <v>14</v>
      </c>
      <c r="K364" s="51">
        <v>25</v>
      </c>
      <c r="L364" s="51">
        <v>8</v>
      </c>
      <c r="M364" s="51">
        <v>2</v>
      </c>
      <c r="N364" s="60" t="s">
        <v>526</v>
      </c>
    </row>
    <row r="365" spans="1:14" x14ac:dyDescent="0.25">
      <c r="A365" s="45">
        <v>1071</v>
      </c>
      <c r="B365" s="45" t="s">
        <v>527</v>
      </c>
      <c r="C365" s="59">
        <v>43277</v>
      </c>
      <c r="D365" s="46" t="str">
        <f t="shared" si="11"/>
        <v>M</v>
      </c>
      <c r="E365" s="61">
        <f t="shared" si="17"/>
        <v>26</v>
      </c>
      <c r="F365" s="45" t="s">
        <v>76</v>
      </c>
      <c r="G365" s="51">
        <v>20</v>
      </c>
      <c r="H365" s="51">
        <v>34</v>
      </c>
      <c r="I365" s="51">
        <v>16</v>
      </c>
      <c r="J365" s="51">
        <v>15</v>
      </c>
      <c r="K365" s="51">
        <v>50</v>
      </c>
      <c r="L365" s="51">
        <v>7</v>
      </c>
      <c r="M365" s="51">
        <v>4</v>
      </c>
      <c r="N365" s="60"/>
    </row>
    <row r="366" spans="1:14" x14ac:dyDescent="0.25">
      <c r="A366" s="45">
        <v>1072</v>
      </c>
      <c r="B366" s="45" t="s">
        <v>528</v>
      </c>
      <c r="C366" s="59">
        <v>43280</v>
      </c>
      <c r="D366" s="46" t="str">
        <f t="shared" si="11"/>
        <v>V</v>
      </c>
      <c r="E366" s="61">
        <f t="shared" si="17"/>
        <v>26</v>
      </c>
      <c r="F366" s="45" t="s">
        <v>76</v>
      </c>
      <c r="G366" s="51">
        <v>15</v>
      </c>
      <c r="H366" s="51">
        <v>21</v>
      </c>
      <c r="I366" s="51">
        <v>40</v>
      </c>
      <c r="J366" s="51">
        <v>23</v>
      </c>
      <c r="K366" s="51">
        <v>48</v>
      </c>
      <c r="L366" s="51">
        <v>3</v>
      </c>
      <c r="M366" s="51">
        <v>12</v>
      </c>
      <c r="N366" s="60" t="s">
        <v>529</v>
      </c>
    </row>
    <row r="367" spans="1:14" x14ac:dyDescent="0.25">
      <c r="A367" s="45">
        <v>1073</v>
      </c>
      <c r="B367" s="45" t="s">
        <v>530</v>
      </c>
      <c r="C367" s="59">
        <v>43284</v>
      </c>
      <c r="D367" s="46" t="str">
        <f t="shared" si="11"/>
        <v>M</v>
      </c>
      <c r="E367" s="61">
        <f t="shared" si="17"/>
        <v>27</v>
      </c>
      <c r="F367" s="45" t="s">
        <v>76</v>
      </c>
      <c r="G367" s="51">
        <v>15</v>
      </c>
      <c r="H367" s="51">
        <v>29</v>
      </c>
      <c r="I367" s="51">
        <v>12</v>
      </c>
      <c r="J367" s="51">
        <v>48</v>
      </c>
      <c r="K367" s="51">
        <v>1</v>
      </c>
      <c r="L367" s="51">
        <v>5</v>
      </c>
      <c r="M367" s="51">
        <v>3</v>
      </c>
      <c r="N367" s="60"/>
    </row>
    <row r="368" spans="1:14" x14ac:dyDescent="0.25">
      <c r="A368" s="45">
        <v>1074</v>
      </c>
      <c r="B368" s="45" t="s">
        <v>531</v>
      </c>
      <c r="C368" s="59">
        <v>43287</v>
      </c>
      <c r="D368" s="46" t="str">
        <f t="shared" si="11"/>
        <v>V</v>
      </c>
      <c r="E368" s="61">
        <f t="shared" si="17"/>
        <v>27</v>
      </c>
      <c r="F368" s="45" t="s">
        <v>76</v>
      </c>
      <c r="G368" s="51">
        <v>30</v>
      </c>
      <c r="H368" s="51">
        <v>8</v>
      </c>
      <c r="I368" s="51">
        <v>48</v>
      </c>
      <c r="J368" s="51">
        <v>33</v>
      </c>
      <c r="K368" s="51">
        <v>38</v>
      </c>
      <c r="L368" s="51">
        <v>10</v>
      </c>
      <c r="M368" s="51">
        <v>2</v>
      </c>
      <c r="N368" s="60" t="s">
        <v>532</v>
      </c>
    </row>
    <row r="369" spans="1:14" x14ac:dyDescent="0.25">
      <c r="A369" s="45">
        <v>1075</v>
      </c>
      <c r="B369" s="45" t="s">
        <v>533</v>
      </c>
      <c r="C369" s="59">
        <v>43291</v>
      </c>
      <c r="D369" s="46" t="str">
        <f t="shared" si="11"/>
        <v>M</v>
      </c>
      <c r="E369" s="61">
        <f t="shared" si="17"/>
        <v>28</v>
      </c>
      <c r="F369" s="45" t="s">
        <v>76</v>
      </c>
      <c r="G369" s="51">
        <v>3</v>
      </c>
      <c r="H369" s="51">
        <v>33</v>
      </c>
      <c r="I369" s="51">
        <v>26</v>
      </c>
      <c r="J369" s="51">
        <v>8</v>
      </c>
      <c r="K369" s="51">
        <v>45</v>
      </c>
      <c r="L369" s="51">
        <v>10</v>
      </c>
      <c r="M369" s="51">
        <v>7</v>
      </c>
      <c r="N369" s="60"/>
    </row>
    <row r="370" spans="1:14" x14ac:dyDescent="0.25">
      <c r="A370" s="45">
        <v>1076</v>
      </c>
      <c r="B370" s="45" t="s">
        <v>534</v>
      </c>
      <c r="C370" s="59">
        <v>43294</v>
      </c>
      <c r="D370" s="46" t="str">
        <f t="shared" si="11"/>
        <v>V</v>
      </c>
      <c r="E370" s="61">
        <f t="shared" si="17"/>
        <v>28</v>
      </c>
      <c r="F370" s="45" t="s">
        <v>76</v>
      </c>
      <c r="G370" s="51">
        <v>49</v>
      </c>
      <c r="H370" s="51">
        <v>14</v>
      </c>
      <c r="I370" s="51">
        <v>4</v>
      </c>
      <c r="J370" s="51">
        <v>1</v>
      </c>
      <c r="K370" s="51">
        <v>21</v>
      </c>
      <c r="L370" s="51">
        <v>2</v>
      </c>
      <c r="M370" s="51">
        <v>12</v>
      </c>
      <c r="N370" s="60" t="s">
        <v>535</v>
      </c>
    </row>
    <row r="371" spans="1:14" x14ac:dyDescent="0.25">
      <c r="A371" s="45">
        <v>1077</v>
      </c>
      <c r="B371" s="45" t="s">
        <v>536</v>
      </c>
      <c r="C371" s="59">
        <v>43298</v>
      </c>
      <c r="D371" s="46" t="str">
        <f t="shared" si="11"/>
        <v>M</v>
      </c>
      <c r="E371" s="61">
        <f>WEEKNUM(C371,21)</f>
        <v>29</v>
      </c>
      <c r="F371" s="45" t="s">
        <v>76</v>
      </c>
      <c r="G371" s="51">
        <v>4</v>
      </c>
      <c r="H371" s="51">
        <v>50</v>
      </c>
      <c r="I371" s="51">
        <v>6</v>
      </c>
      <c r="J371" s="51">
        <v>27</v>
      </c>
      <c r="K371" s="51">
        <v>48</v>
      </c>
      <c r="L371" s="51">
        <v>1</v>
      </c>
      <c r="M371" s="51">
        <v>11</v>
      </c>
      <c r="N371" s="60"/>
    </row>
    <row r="372" spans="1:14" x14ac:dyDescent="0.25">
      <c r="A372" s="45">
        <v>1078</v>
      </c>
      <c r="B372" s="45" t="s">
        <v>537</v>
      </c>
      <c r="C372" s="59">
        <v>43301</v>
      </c>
      <c r="D372" s="46" t="str">
        <f t="shared" si="11"/>
        <v>V</v>
      </c>
      <c r="E372" s="61">
        <f t="shared" ref="E372:E383" si="19">WEEKNUM(C372,21)</f>
        <v>29</v>
      </c>
      <c r="F372" s="45" t="s">
        <v>76</v>
      </c>
      <c r="G372" s="51">
        <v>15</v>
      </c>
      <c r="H372" s="51">
        <v>2</v>
      </c>
      <c r="I372" s="51">
        <v>43</v>
      </c>
      <c r="J372" s="51">
        <v>40</v>
      </c>
      <c r="K372" s="51">
        <v>46</v>
      </c>
      <c r="L372" s="51">
        <v>3</v>
      </c>
      <c r="M372" s="51">
        <v>0</v>
      </c>
      <c r="N372" s="60" t="s">
        <v>538</v>
      </c>
    </row>
    <row r="373" spans="1:14" x14ac:dyDescent="0.25">
      <c r="A373" s="45">
        <v>1079</v>
      </c>
      <c r="B373" s="45" t="s">
        <v>539</v>
      </c>
      <c r="C373" s="59">
        <v>43305</v>
      </c>
      <c r="D373" s="46" t="str">
        <f t="shared" si="11"/>
        <v>M</v>
      </c>
      <c r="E373" s="61">
        <f t="shared" si="19"/>
        <v>30</v>
      </c>
      <c r="F373" s="45" t="s">
        <v>76</v>
      </c>
      <c r="G373" s="51">
        <v>40</v>
      </c>
      <c r="H373" s="51">
        <v>23</v>
      </c>
      <c r="I373" s="51">
        <v>2</v>
      </c>
      <c r="J373" s="51">
        <v>4</v>
      </c>
      <c r="K373" s="51">
        <v>39</v>
      </c>
      <c r="L373" s="51">
        <v>3</v>
      </c>
      <c r="M373" s="51">
        <v>9</v>
      </c>
      <c r="N373" s="60"/>
    </row>
    <row r="374" spans="1:14" x14ac:dyDescent="0.25">
      <c r="A374" s="45">
        <v>1080</v>
      </c>
      <c r="B374" s="45" t="s">
        <v>540</v>
      </c>
      <c r="C374" s="59">
        <v>43308</v>
      </c>
      <c r="D374" s="46" t="str">
        <f t="shared" si="11"/>
        <v>V</v>
      </c>
      <c r="E374" s="61">
        <f t="shared" si="19"/>
        <v>30</v>
      </c>
      <c r="F374" s="45" t="s">
        <v>76</v>
      </c>
      <c r="G374" s="51">
        <v>17</v>
      </c>
      <c r="H374" s="51">
        <v>23</v>
      </c>
      <c r="I374" s="51">
        <v>11</v>
      </c>
      <c r="J374" s="51">
        <v>22</v>
      </c>
      <c r="K374" s="51">
        <v>41</v>
      </c>
      <c r="L374" s="51">
        <v>11</v>
      </c>
      <c r="M374" s="51">
        <v>6</v>
      </c>
      <c r="N374" s="60" t="s">
        <v>541</v>
      </c>
    </row>
    <row r="375" spans="1:14" x14ac:dyDescent="0.25">
      <c r="A375" s="45">
        <v>1081</v>
      </c>
      <c r="B375" s="45" t="s">
        <v>542</v>
      </c>
      <c r="C375" s="59">
        <v>43312</v>
      </c>
      <c r="D375" s="46" t="str">
        <f t="shared" si="11"/>
        <v>M</v>
      </c>
      <c r="E375" s="61">
        <f t="shared" si="19"/>
        <v>31</v>
      </c>
      <c r="F375" s="45" t="s">
        <v>76</v>
      </c>
      <c r="G375" s="51">
        <v>25</v>
      </c>
      <c r="H375" s="51">
        <v>34</v>
      </c>
      <c r="I375" s="51">
        <v>20</v>
      </c>
      <c r="J375" s="51">
        <v>42</v>
      </c>
      <c r="K375" s="51">
        <v>45</v>
      </c>
      <c r="L375" s="51">
        <v>6</v>
      </c>
      <c r="M375" s="51">
        <v>11</v>
      </c>
      <c r="N375" s="60"/>
    </row>
    <row r="376" spans="1:14" x14ac:dyDescent="0.25">
      <c r="A376" s="45">
        <v>1082</v>
      </c>
      <c r="B376" s="45" t="s">
        <v>543</v>
      </c>
      <c r="C376" s="59">
        <v>43315</v>
      </c>
      <c r="D376" s="46" t="str">
        <f t="shared" si="11"/>
        <v>V</v>
      </c>
      <c r="E376" s="61">
        <f t="shared" si="19"/>
        <v>31</v>
      </c>
      <c r="F376" s="45" t="s">
        <v>76</v>
      </c>
      <c r="G376" s="51">
        <v>26</v>
      </c>
      <c r="H376" s="51">
        <v>38</v>
      </c>
      <c r="I376" s="51">
        <v>36</v>
      </c>
      <c r="J376" s="51">
        <v>43</v>
      </c>
      <c r="K376" s="51">
        <v>7</v>
      </c>
      <c r="L376" s="51">
        <v>12</v>
      </c>
      <c r="M376" s="51">
        <v>6</v>
      </c>
      <c r="N376" s="60" t="s">
        <v>544</v>
      </c>
    </row>
    <row r="377" spans="1:14" x14ac:dyDescent="0.25">
      <c r="A377" s="45">
        <v>1083</v>
      </c>
      <c r="B377" s="45" t="s">
        <v>545</v>
      </c>
      <c r="C377" s="59">
        <v>43319</v>
      </c>
      <c r="D377" s="46" t="str">
        <f t="shared" si="11"/>
        <v>M</v>
      </c>
      <c r="E377" s="61">
        <f t="shared" si="19"/>
        <v>32</v>
      </c>
      <c r="F377" s="45" t="s">
        <v>76</v>
      </c>
      <c r="G377" s="51">
        <v>15</v>
      </c>
      <c r="H377" s="51">
        <v>17</v>
      </c>
      <c r="I377" s="51">
        <v>20</v>
      </c>
      <c r="J377" s="51">
        <v>23</v>
      </c>
      <c r="K377" s="51">
        <v>48</v>
      </c>
      <c r="L377" s="51">
        <v>2</v>
      </c>
      <c r="M377" s="51">
        <v>3</v>
      </c>
      <c r="N377" s="60"/>
    </row>
    <row r="378" spans="1:14" x14ac:dyDescent="0.25">
      <c r="A378" s="45">
        <v>1084</v>
      </c>
      <c r="B378" s="45" t="s">
        <v>546</v>
      </c>
      <c r="C378" s="59">
        <v>43322</v>
      </c>
      <c r="D378" s="46" t="str">
        <f t="shared" si="11"/>
        <v>V</v>
      </c>
      <c r="E378" s="61">
        <f t="shared" si="19"/>
        <v>32</v>
      </c>
      <c r="F378" s="45" t="s">
        <v>76</v>
      </c>
      <c r="G378" s="51">
        <v>39</v>
      </c>
      <c r="H378" s="51">
        <v>44</v>
      </c>
      <c r="I378" s="51">
        <v>50</v>
      </c>
      <c r="J378" s="51">
        <v>20</v>
      </c>
      <c r="K378" s="51">
        <v>38</v>
      </c>
      <c r="L378" s="51">
        <v>12</v>
      </c>
      <c r="M378" s="51">
        <v>11</v>
      </c>
      <c r="N378" s="60" t="s">
        <v>547</v>
      </c>
    </row>
    <row r="379" spans="1:14" x14ac:dyDescent="0.25">
      <c r="A379" s="45">
        <v>1085</v>
      </c>
      <c r="B379" s="45" t="s">
        <v>548</v>
      </c>
      <c r="C379" s="59">
        <f t="shared" ref="C379:C394" si="20">+C377+7</f>
        <v>43326</v>
      </c>
      <c r="D379" s="46" t="str">
        <f t="shared" si="11"/>
        <v>M</v>
      </c>
      <c r="E379" s="61">
        <f t="shared" si="19"/>
        <v>33</v>
      </c>
      <c r="F379" s="45" t="s">
        <v>76</v>
      </c>
      <c r="G379" s="51">
        <v>31</v>
      </c>
      <c r="H379" s="51">
        <v>1</v>
      </c>
      <c r="I379" s="51">
        <v>15</v>
      </c>
      <c r="J379" s="51">
        <v>25</v>
      </c>
      <c r="K379" s="51">
        <v>18</v>
      </c>
      <c r="L379" s="51">
        <v>9</v>
      </c>
      <c r="M379" s="51">
        <v>11</v>
      </c>
      <c r="N379" s="60"/>
    </row>
    <row r="380" spans="1:14" x14ac:dyDescent="0.25">
      <c r="A380" s="45">
        <v>1086</v>
      </c>
      <c r="B380" s="45" t="s">
        <v>549</v>
      </c>
      <c r="C380" s="59">
        <f t="shared" si="20"/>
        <v>43329</v>
      </c>
      <c r="D380" s="46" t="str">
        <f t="shared" si="11"/>
        <v>V</v>
      </c>
      <c r="E380" s="61">
        <f t="shared" si="19"/>
        <v>33</v>
      </c>
      <c r="F380" s="45" t="s">
        <v>76</v>
      </c>
      <c r="G380" s="51">
        <v>18</v>
      </c>
      <c r="H380" s="51">
        <v>24</v>
      </c>
      <c r="I380" s="51">
        <v>2</v>
      </c>
      <c r="J380" s="51">
        <v>43</v>
      </c>
      <c r="K380" s="51">
        <v>15</v>
      </c>
      <c r="L380" s="51">
        <v>8</v>
      </c>
      <c r="M380" s="51">
        <v>12</v>
      </c>
      <c r="N380" s="60" t="s">
        <v>550</v>
      </c>
    </row>
    <row r="381" spans="1:14" x14ac:dyDescent="0.25">
      <c r="A381" s="45">
        <v>1087</v>
      </c>
      <c r="B381" s="45" t="s">
        <v>551</v>
      </c>
      <c r="C381" s="59">
        <f t="shared" si="20"/>
        <v>43333</v>
      </c>
      <c r="D381" s="46" t="str">
        <f t="shared" si="11"/>
        <v>M</v>
      </c>
      <c r="E381" s="61">
        <f t="shared" si="19"/>
        <v>34</v>
      </c>
      <c r="F381" s="45" t="s">
        <v>76</v>
      </c>
      <c r="G381" s="51">
        <v>43</v>
      </c>
      <c r="H381" s="51">
        <v>16</v>
      </c>
      <c r="I381" s="51">
        <v>49</v>
      </c>
      <c r="J381" s="51">
        <v>23</v>
      </c>
      <c r="K381" s="51">
        <v>42</v>
      </c>
      <c r="L381" s="51">
        <v>12</v>
      </c>
      <c r="M381" s="51">
        <v>10</v>
      </c>
      <c r="N381" s="60"/>
    </row>
    <row r="382" spans="1:14" x14ac:dyDescent="0.25">
      <c r="A382" s="45">
        <v>1088</v>
      </c>
      <c r="B382" s="45" t="s">
        <v>552</v>
      </c>
      <c r="C382" s="59">
        <f t="shared" si="20"/>
        <v>43336</v>
      </c>
      <c r="D382" s="46" t="str">
        <f t="shared" si="11"/>
        <v>V</v>
      </c>
      <c r="E382" s="61">
        <f t="shared" si="19"/>
        <v>34</v>
      </c>
      <c r="F382" s="45" t="s">
        <v>76</v>
      </c>
      <c r="G382" s="51">
        <v>31</v>
      </c>
      <c r="H382" s="51">
        <v>36</v>
      </c>
      <c r="I382" s="51">
        <v>50</v>
      </c>
      <c r="J382" s="51">
        <v>14</v>
      </c>
      <c r="K382" s="51">
        <v>3</v>
      </c>
      <c r="L382" s="51">
        <v>12</v>
      </c>
      <c r="M382" s="51">
        <v>1</v>
      </c>
      <c r="N382" s="60" t="s">
        <v>553</v>
      </c>
    </row>
    <row r="383" spans="1:14" x14ac:dyDescent="0.25">
      <c r="A383" s="45">
        <v>1089</v>
      </c>
      <c r="B383" s="45" t="s">
        <v>554</v>
      </c>
      <c r="C383" s="59">
        <f t="shared" si="20"/>
        <v>43340</v>
      </c>
      <c r="D383" s="46" t="str">
        <f t="shared" si="11"/>
        <v>M</v>
      </c>
      <c r="E383" s="61">
        <f t="shared" si="19"/>
        <v>35</v>
      </c>
      <c r="F383" s="45" t="s">
        <v>76</v>
      </c>
      <c r="G383" s="51">
        <v>42</v>
      </c>
      <c r="H383" s="51">
        <v>46</v>
      </c>
      <c r="I383" s="51">
        <v>4</v>
      </c>
      <c r="J383" s="51">
        <v>16</v>
      </c>
      <c r="K383" s="51">
        <v>32</v>
      </c>
      <c r="L383" s="51">
        <v>12</v>
      </c>
      <c r="M383" s="51">
        <v>8</v>
      </c>
      <c r="N383" s="60"/>
    </row>
    <row r="384" spans="1:14" x14ac:dyDescent="0.25">
      <c r="A384" s="45">
        <v>1090</v>
      </c>
      <c r="B384" s="45" t="s">
        <v>555</v>
      </c>
      <c r="C384" s="59">
        <f t="shared" si="20"/>
        <v>43343</v>
      </c>
      <c r="D384" s="46" t="str">
        <f t="shared" si="11"/>
        <v>V</v>
      </c>
      <c r="E384" s="61">
        <f>WEEKNUM(C384,21)</f>
        <v>35</v>
      </c>
      <c r="F384" s="45" t="s">
        <v>76</v>
      </c>
      <c r="G384" s="51">
        <v>4</v>
      </c>
      <c r="H384" s="51">
        <v>42</v>
      </c>
      <c r="I384" s="51">
        <v>30</v>
      </c>
      <c r="J384" s="51">
        <v>38</v>
      </c>
      <c r="K384" s="51">
        <v>31</v>
      </c>
      <c r="L384" s="51">
        <v>4</v>
      </c>
      <c r="M384" s="51">
        <v>6</v>
      </c>
      <c r="N384" s="60" t="s">
        <v>556</v>
      </c>
    </row>
    <row r="385" spans="1:14" x14ac:dyDescent="0.25">
      <c r="A385" s="45">
        <v>1091</v>
      </c>
      <c r="B385" s="45" t="s">
        <v>557</v>
      </c>
      <c r="C385" s="59">
        <f t="shared" si="20"/>
        <v>43347</v>
      </c>
      <c r="D385" s="46" t="str">
        <f t="shared" si="11"/>
        <v>M</v>
      </c>
      <c r="E385" s="61">
        <f t="shared" ref="E385:E421" si="21">WEEKNUM(C385,21)</f>
        <v>36</v>
      </c>
      <c r="F385" s="45" t="s">
        <v>76</v>
      </c>
      <c r="G385" s="51">
        <v>47</v>
      </c>
      <c r="H385" s="51">
        <v>5</v>
      </c>
      <c r="I385" s="51">
        <v>28</v>
      </c>
      <c r="J385" s="51">
        <v>30</v>
      </c>
      <c r="K385" s="51">
        <v>14</v>
      </c>
      <c r="L385" s="51">
        <v>11</v>
      </c>
      <c r="M385" s="51">
        <v>4</v>
      </c>
      <c r="N385" s="60"/>
    </row>
    <row r="386" spans="1:14" x14ac:dyDescent="0.25">
      <c r="A386" s="45">
        <v>1092</v>
      </c>
      <c r="B386" s="45" t="s">
        <v>558</v>
      </c>
      <c r="C386" s="59">
        <f t="shared" si="20"/>
        <v>43350</v>
      </c>
      <c r="D386" s="46" t="str">
        <f t="shared" ref="D386:D449" si="22">CHOOSE(WEEKDAY(C386),"D","L","M","X","J","V","S")</f>
        <v>V</v>
      </c>
      <c r="E386" s="61">
        <f t="shared" si="21"/>
        <v>36</v>
      </c>
      <c r="F386" s="45" t="s">
        <v>76</v>
      </c>
      <c r="G386" s="51">
        <v>50</v>
      </c>
      <c r="H386" s="51">
        <v>31</v>
      </c>
      <c r="I386" s="51">
        <v>27</v>
      </c>
      <c r="J386" s="51">
        <v>4</v>
      </c>
      <c r="K386" s="51">
        <v>23</v>
      </c>
      <c r="L386" s="51">
        <v>1</v>
      </c>
      <c r="M386" s="51">
        <v>8</v>
      </c>
      <c r="N386" s="60" t="s">
        <v>559</v>
      </c>
    </row>
    <row r="387" spans="1:14" x14ac:dyDescent="0.25">
      <c r="A387" s="45">
        <v>1093</v>
      </c>
      <c r="B387" s="45" t="s">
        <v>560</v>
      </c>
      <c r="C387" s="59">
        <f t="shared" si="20"/>
        <v>43354</v>
      </c>
      <c r="D387" s="46" t="str">
        <f t="shared" si="22"/>
        <v>M</v>
      </c>
      <c r="E387" s="61">
        <f t="shared" si="21"/>
        <v>37</v>
      </c>
      <c r="F387" s="45" t="s">
        <v>76</v>
      </c>
      <c r="G387" s="51">
        <v>32</v>
      </c>
      <c r="H387" s="51">
        <v>18</v>
      </c>
      <c r="I387" s="51">
        <v>9</v>
      </c>
      <c r="J387" s="51">
        <v>38</v>
      </c>
      <c r="K387" s="51">
        <v>46</v>
      </c>
      <c r="L387" s="51">
        <v>2</v>
      </c>
      <c r="M387" s="51">
        <v>3</v>
      </c>
      <c r="N387" s="60"/>
    </row>
    <row r="388" spans="1:14" x14ac:dyDescent="0.25">
      <c r="A388" s="45">
        <v>1094</v>
      </c>
      <c r="B388" s="45" t="s">
        <v>561</v>
      </c>
      <c r="C388" s="59">
        <f t="shared" si="20"/>
        <v>43357</v>
      </c>
      <c r="D388" s="46" t="str">
        <f t="shared" si="22"/>
        <v>V</v>
      </c>
      <c r="E388" s="61">
        <f t="shared" si="21"/>
        <v>37</v>
      </c>
      <c r="F388" s="45" t="s">
        <v>76</v>
      </c>
      <c r="G388" s="51">
        <v>45</v>
      </c>
      <c r="H388" s="51">
        <v>40</v>
      </c>
      <c r="I388" s="51">
        <v>33</v>
      </c>
      <c r="J388" s="51">
        <v>1</v>
      </c>
      <c r="K388" s="51">
        <v>3</v>
      </c>
      <c r="L388" s="51">
        <v>4</v>
      </c>
      <c r="M388" s="51">
        <v>3</v>
      </c>
      <c r="N388" s="60" t="s">
        <v>562</v>
      </c>
    </row>
    <row r="389" spans="1:14" x14ac:dyDescent="0.25">
      <c r="A389" s="45">
        <v>1095</v>
      </c>
      <c r="B389" s="45" t="s">
        <v>563</v>
      </c>
      <c r="C389" s="59">
        <f t="shared" si="20"/>
        <v>43361</v>
      </c>
      <c r="D389" s="46" t="str">
        <f t="shared" si="22"/>
        <v>M</v>
      </c>
      <c r="E389" s="61">
        <f t="shared" si="21"/>
        <v>38</v>
      </c>
      <c r="F389" s="45" t="s">
        <v>76</v>
      </c>
      <c r="G389" s="51">
        <v>10</v>
      </c>
      <c r="H389" s="51">
        <v>32</v>
      </c>
      <c r="I389" s="51">
        <v>45</v>
      </c>
      <c r="J389" s="51">
        <v>8</v>
      </c>
      <c r="K389" s="51">
        <v>3</v>
      </c>
      <c r="L389" s="51">
        <v>4</v>
      </c>
      <c r="M389" s="51">
        <v>12</v>
      </c>
      <c r="N389" s="60"/>
    </row>
    <row r="390" spans="1:14" x14ac:dyDescent="0.25">
      <c r="A390" s="45">
        <v>1096</v>
      </c>
      <c r="B390" s="45" t="s">
        <v>564</v>
      </c>
      <c r="C390" s="59">
        <f t="shared" si="20"/>
        <v>43364</v>
      </c>
      <c r="D390" s="46" t="str">
        <f t="shared" si="22"/>
        <v>V</v>
      </c>
      <c r="E390" s="61">
        <f t="shared" si="21"/>
        <v>38</v>
      </c>
      <c r="F390" s="45" t="s">
        <v>76</v>
      </c>
      <c r="G390" s="51">
        <v>5</v>
      </c>
      <c r="H390" s="51">
        <v>7</v>
      </c>
      <c r="I390" s="51">
        <v>37</v>
      </c>
      <c r="J390" s="51">
        <v>25</v>
      </c>
      <c r="K390" s="51">
        <v>21</v>
      </c>
      <c r="L390" s="51">
        <v>3</v>
      </c>
      <c r="M390" s="51">
        <v>4</v>
      </c>
      <c r="N390" s="60" t="s">
        <v>565</v>
      </c>
    </row>
    <row r="391" spans="1:14" x14ac:dyDescent="0.25">
      <c r="A391" s="45">
        <v>1097</v>
      </c>
      <c r="B391" s="45" t="s">
        <v>566</v>
      </c>
      <c r="C391" s="59">
        <f t="shared" si="20"/>
        <v>43368</v>
      </c>
      <c r="D391" s="46" t="str">
        <f t="shared" si="22"/>
        <v>M</v>
      </c>
      <c r="E391" s="61">
        <f t="shared" si="21"/>
        <v>39</v>
      </c>
      <c r="F391" s="45" t="s">
        <v>76</v>
      </c>
      <c r="G391" s="51">
        <v>38</v>
      </c>
      <c r="H391" s="51">
        <v>6</v>
      </c>
      <c r="I391" s="51">
        <v>20</v>
      </c>
      <c r="J391" s="51">
        <v>30</v>
      </c>
      <c r="K391" s="51">
        <v>15</v>
      </c>
      <c r="L391" s="51">
        <v>4</v>
      </c>
      <c r="M391" s="51">
        <v>7</v>
      </c>
      <c r="N391" s="60"/>
    </row>
    <row r="392" spans="1:14" x14ac:dyDescent="0.25">
      <c r="A392" s="45">
        <v>1098</v>
      </c>
      <c r="B392" s="45" t="s">
        <v>567</v>
      </c>
      <c r="C392" s="59">
        <f t="shared" si="20"/>
        <v>43371</v>
      </c>
      <c r="D392" s="46" t="str">
        <f t="shared" si="22"/>
        <v>V</v>
      </c>
      <c r="E392" s="61">
        <f t="shared" si="21"/>
        <v>39</v>
      </c>
      <c r="F392" s="45" t="s">
        <v>76</v>
      </c>
      <c r="G392" s="51">
        <v>4</v>
      </c>
      <c r="H392" s="51">
        <v>8</v>
      </c>
      <c r="I392" s="51">
        <v>50</v>
      </c>
      <c r="J392" s="51">
        <v>2</v>
      </c>
      <c r="K392" s="51">
        <v>27</v>
      </c>
      <c r="L392" s="51">
        <v>2</v>
      </c>
      <c r="M392" s="51">
        <v>9</v>
      </c>
      <c r="N392" s="60" t="s">
        <v>568</v>
      </c>
    </row>
    <row r="393" spans="1:14" x14ac:dyDescent="0.25">
      <c r="A393" s="45">
        <v>1099</v>
      </c>
      <c r="B393" s="45" t="s">
        <v>569</v>
      </c>
      <c r="C393" s="59">
        <f t="shared" si="20"/>
        <v>43375</v>
      </c>
      <c r="D393" s="46" t="str">
        <f t="shared" si="22"/>
        <v>M</v>
      </c>
      <c r="E393" s="61">
        <f t="shared" si="21"/>
        <v>40</v>
      </c>
      <c r="F393" s="45" t="s">
        <v>76</v>
      </c>
      <c r="G393" s="51">
        <v>45</v>
      </c>
      <c r="H393" s="51">
        <v>29</v>
      </c>
      <c r="I393" s="51">
        <v>37</v>
      </c>
      <c r="J393" s="51">
        <v>7</v>
      </c>
      <c r="K393" s="51">
        <v>17</v>
      </c>
      <c r="L393" s="51">
        <v>11</v>
      </c>
      <c r="M393" s="51">
        <v>3</v>
      </c>
      <c r="N393" s="60"/>
    </row>
    <row r="394" spans="1:14" x14ac:dyDescent="0.25">
      <c r="A394" s="45">
        <v>1100</v>
      </c>
      <c r="B394" s="45" t="s">
        <v>570</v>
      </c>
      <c r="C394" s="59">
        <f t="shared" si="20"/>
        <v>43378</v>
      </c>
      <c r="D394" s="46" t="str">
        <f t="shared" si="22"/>
        <v>V</v>
      </c>
      <c r="E394" s="61">
        <f t="shared" si="21"/>
        <v>40</v>
      </c>
      <c r="F394" s="45" t="s">
        <v>76</v>
      </c>
      <c r="G394" s="51">
        <v>16</v>
      </c>
      <c r="H394" s="51">
        <v>8</v>
      </c>
      <c r="I394" s="51">
        <v>26</v>
      </c>
      <c r="J394" s="51">
        <v>35</v>
      </c>
      <c r="K394" s="51">
        <v>24</v>
      </c>
      <c r="L394" s="51">
        <v>11</v>
      </c>
      <c r="M394" s="51">
        <v>3</v>
      </c>
      <c r="N394" s="60" t="s">
        <v>571</v>
      </c>
    </row>
    <row r="395" spans="1:14" x14ac:dyDescent="0.25">
      <c r="A395" s="45">
        <v>1101</v>
      </c>
      <c r="B395" s="45" t="s">
        <v>572</v>
      </c>
      <c r="C395" s="59">
        <v>43382</v>
      </c>
      <c r="D395" s="46" t="str">
        <f t="shared" si="22"/>
        <v>M</v>
      </c>
      <c r="E395" s="61">
        <f t="shared" si="21"/>
        <v>41</v>
      </c>
      <c r="F395" s="45" t="s">
        <v>76</v>
      </c>
      <c r="G395" s="51">
        <v>3</v>
      </c>
      <c r="H395" s="51">
        <v>45</v>
      </c>
      <c r="I395" s="51">
        <v>44</v>
      </c>
      <c r="J395" s="51">
        <v>12</v>
      </c>
      <c r="K395" s="51">
        <v>36</v>
      </c>
      <c r="L395" s="51">
        <v>11</v>
      </c>
      <c r="M395" s="51">
        <v>8</v>
      </c>
      <c r="N395" s="60"/>
    </row>
    <row r="396" spans="1:14" x14ac:dyDescent="0.25">
      <c r="A396" s="45">
        <v>1102</v>
      </c>
      <c r="B396" s="45" t="s">
        <v>573</v>
      </c>
      <c r="C396" s="59">
        <v>43385</v>
      </c>
      <c r="D396" s="46" t="str">
        <f t="shared" si="22"/>
        <v>V</v>
      </c>
      <c r="E396" s="61">
        <f t="shared" si="21"/>
        <v>41</v>
      </c>
      <c r="F396" s="45" t="s">
        <v>76</v>
      </c>
      <c r="G396" s="51">
        <v>31</v>
      </c>
      <c r="H396" s="51">
        <v>4</v>
      </c>
      <c r="I396" s="51">
        <v>12</v>
      </c>
      <c r="J396" s="51">
        <v>43</v>
      </c>
      <c r="K396" s="51">
        <v>9</v>
      </c>
      <c r="L396" s="51">
        <v>8</v>
      </c>
      <c r="M396" s="51">
        <v>5</v>
      </c>
      <c r="N396" s="60" t="s">
        <v>574</v>
      </c>
    </row>
    <row r="397" spans="1:14" x14ac:dyDescent="0.25">
      <c r="A397" s="45">
        <v>1103</v>
      </c>
      <c r="B397" s="45" t="s">
        <v>575</v>
      </c>
      <c r="C397" s="59">
        <v>43389</v>
      </c>
      <c r="D397" s="46" t="str">
        <f t="shared" si="22"/>
        <v>M</v>
      </c>
      <c r="E397" s="61">
        <f t="shared" si="21"/>
        <v>42</v>
      </c>
      <c r="F397" s="45" t="s">
        <v>76</v>
      </c>
      <c r="G397" s="51">
        <v>15</v>
      </c>
      <c r="H397" s="51">
        <v>28</v>
      </c>
      <c r="I397" s="51">
        <v>42</v>
      </c>
      <c r="J397" s="51">
        <v>37</v>
      </c>
      <c r="K397" s="51">
        <v>40</v>
      </c>
      <c r="L397" s="51">
        <v>1</v>
      </c>
      <c r="M397" s="51">
        <v>6</v>
      </c>
      <c r="N397" s="60"/>
    </row>
    <row r="398" spans="1:14" x14ac:dyDescent="0.25">
      <c r="A398" s="45">
        <v>1104</v>
      </c>
      <c r="B398" s="45" t="s">
        <v>576</v>
      </c>
      <c r="C398" s="59">
        <v>43392</v>
      </c>
      <c r="D398" s="46" t="str">
        <f t="shared" si="22"/>
        <v>V</v>
      </c>
      <c r="E398" s="61">
        <f t="shared" si="21"/>
        <v>42</v>
      </c>
      <c r="F398" s="45" t="s">
        <v>76</v>
      </c>
      <c r="G398" s="51">
        <v>1</v>
      </c>
      <c r="H398" s="51">
        <v>3</v>
      </c>
      <c r="I398" s="51">
        <v>47</v>
      </c>
      <c r="J398" s="51">
        <v>29</v>
      </c>
      <c r="K398" s="51">
        <v>48</v>
      </c>
      <c r="L398" s="51">
        <v>12</v>
      </c>
      <c r="M398" s="51">
        <v>3</v>
      </c>
      <c r="N398" s="60" t="s">
        <v>577</v>
      </c>
    </row>
    <row r="399" spans="1:14" x14ac:dyDescent="0.25">
      <c r="A399" s="45">
        <v>1105</v>
      </c>
      <c r="B399" s="45" t="s">
        <v>578</v>
      </c>
      <c r="C399" s="59">
        <v>43396</v>
      </c>
      <c r="D399" s="46" t="str">
        <f t="shared" si="22"/>
        <v>M</v>
      </c>
      <c r="E399" s="61">
        <f t="shared" si="21"/>
        <v>43</v>
      </c>
      <c r="F399" s="45" t="s">
        <v>76</v>
      </c>
      <c r="G399" s="51">
        <v>32</v>
      </c>
      <c r="H399" s="51">
        <v>2</v>
      </c>
      <c r="I399" s="51">
        <v>1</v>
      </c>
      <c r="J399" s="51">
        <v>5</v>
      </c>
      <c r="K399" s="51">
        <v>21</v>
      </c>
      <c r="L399" s="51">
        <v>12</v>
      </c>
      <c r="M399" s="51">
        <v>2</v>
      </c>
      <c r="N399" s="60"/>
    </row>
    <row r="400" spans="1:14" x14ac:dyDescent="0.25">
      <c r="A400" s="45">
        <v>1106</v>
      </c>
      <c r="B400" s="45" t="s">
        <v>579</v>
      </c>
      <c r="C400" s="59">
        <v>43399</v>
      </c>
      <c r="D400" s="46" t="str">
        <f t="shared" si="22"/>
        <v>V</v>
      </c>
      <c r="E400" s="61">
        <f t="shared" si="21"/>
        <v>43</v>
      </c>
      <c r="F400" s="45" t="s">
        <v>76</v>
      </c>
      <c r="G400" s="51">
        <v>5</v>
      </c>
      <c r="H400" s="51">
        <v>31</v>
      </c>
      <c r="I400" s="51">
        <v>18</v>
      </c>
      <c r="J400" s="51">
        <v>21</v>
      </c>
      <c r="K400" s="51">
        <v>35</v>
      </c>
      <c r="L400" s="51">
        <v>6</v>
      </c>
      <c r="M400" s="51">
        <v>9</v>
      </c>
      <c r="N400" s="60" t="s">
        <v>580</v>
      </c>
    </row>
    <row r="401" spans="1:14" x14ac:dyDescent="0.25">
      <c r="A401" s="45">
        <v>1107</v>
      </c>
      <c r="B401" s="45" t="s">
        <v>581</v>
      </c>
      <c r="C401" s="59">
        <v>43403</v>
      </c>
      <c r="D401" s="46" t="str">
        <f t="shared" si="22"/>
        <v>M</v>
      </c>
      <c r="E401" s="61">
        <f t="shared" si="21"/>
        <v>44</v>
      </c>
      <c r="F401" s="45" t="s">
        <v>76</v>
      </c>
      <c r="G401" s="51">
        <v>44</v>
      </c>
      <c r="H401" s="51">
        <v>27</v>
      </c>
      <c r="I401" s="51">
        <v>23</v>
      </c>
      <c r="J401" s="51">
        <v>17</v>
      </c>
      <c r="K401" s="51">
        <v>43</v>
      </c>
      <c r="L401" s="51">
        <v>1</v>
      </c>
      <c r="M401" s="51">
        <v>12</v>
      </c>
      <c r="N401" s="60"/>
    </row>
    <row r="402" spans="1:14" x14ac:dyDescent="0.25">
      <c r="A402" s="45">
        <v>1108</v>
      </c>
      <c r="B402" s="45" t="s">
        <v>582</v>
      </c>
      <c r="C402" s="59">
        <v>43406</v>
      </c>
      <c r="D402" s="46" t="str">
        <f t="shared" si="22"/>
        <v>V</v>
      </c>
      <c r="E402" s="61">
        <f t="shared" si="21"/>
        <v>44</v>
      </c>
      <c r="F402" s="45" t="s">
        <v>76</v>
      </c>
      <c r="G402" s="51">
        <v>15</v>
      </c>
      <c r="H402" s="51">
        <v>37</v>
      </c>
      <c r="I402" s="51">
        <v>5</v>
      </c>
      <c r="J402" s="51">
        <v>17</v>
      </c>
      <c r="K402" s="51">
        <v>44</v>
      </c>
      <c r="L402" s="51">
        <v>11</v>
      </c>
      <c r="M402" s="51">
        <v>7</v>
      </c>
      <c r="N402" s="60" t="s">
        <v>583</v>
      </c>
    </row>
    <row r="403" spans="1:14" x14ac:dyDescent="0.25">
      <c r="A403" s="45">
        <v>1109</v>
      </c>
      <c r="B403" s="45" t="s">
        <v>584</v>
      </c>
      <c r="C403" s="59">
        <v>43410</v>
      </c>
      <c r="D403" s="46" t="str">
        <f t="shared" si="22"/>
        <v>M</v>
      </c>
      <c r="E403" s="61">
        <f t="shared" si="21"/>
        <v>45</v>
      </c>
      <c r="F403" s="45" t="s">
        <v>76</v>
      </c>
      <c r="G403" s="51">
        <v>14</v>
      </c>
      <c r="H403" s="51">
        <v>36</v>
      </c>
      <c r="I403" s="51">
        <v>24</v>
      </c>
      <c r="J403" s="51">
        <v>43</v>
      </c>
      <c r="K403" s="51">
        <v>40</v>
      </c>
      <c r="L403" s="51">
        <v>2</v>
      </c>
      <c r="M403" s="51">
        <v>9</v>
      </c>
      <c r="N403" s="60"/>
    </row>
    <row r="404" spans="1:14" x14ac:dyDescent="0.25">
      <c r="A404" s="45">
        <v>1110</v>
      </c>
      <c r="B404" s="45" t="s">
        <v>585</v>
      </c>
      <c r="C404" s="59">
        <v>43413</v>
      </c>
      <c r="D404" s="46" t="str">
        <f t="shared" si="22"/>
        <v>V</v>
      </c>
      <c r="E404" s="61">
        <f t="shared" si="21"/>
        <v>45</v>
      </c>
      <c r="F404" s="45" t="s">
        <v>76</v>
      </c>
      <c r="G404" s="51">
        <v>49</v>
      </c>
      <c r="H404" s="51">
        <v>17</v>
      </c>
      <c r="I404" s="51">
        <v>37</v>
      </c>
      <c r="J404" s="51">
        <v>32</v>
      </c>
      <c r="K404" s="51">
        <v>14</v>
      </c>
      <c r="L404" s="51">
        <v>11</v>
      </c>
      <c r="M404" s="51">
        <v>12</v>
      </c>
      <c r="N404" s="60" t="s">
        <v>586</v>
      </c>
    </row>
    <row r="405" spans="1:14" x14ac:dyDescent="0.25">
      <c r="A405" s="45">
        <v>1111</v>
      </c>
      <c r="B405" s="45" t="s">
        <v>587</v>
      </c>
      <c r="C405" s="59">
        <v>43417</v>
      </c>
      <c r="D405" s="46" t="str">
        <f t="shared" si="22"/>
        <v>M</v>
      </c>
      <c r="E405" s="61">
        <f t="shared" si="21"/>
        <v>46</v>
      </c>
      <c r="F405" s="45" t="s">
        <v>76</v>
      </c>
      <c r="G405" s="51">
        <v>10</v>
      </c>
      <c r="H405" s="51">
        <v>7</v>
      </c>
      <c r="I405" s="51">
        <v>13</v>
      </c>
      <c r="J405" s="51">
        <v>2</v>
      </c>
      <c r="K405" s="51">
        <v>42</v>
      </c>
      <c r="L405" s="51">
        <v>6</v>
      </c>
      <c r="M405" s="51">
        <v>3</v>
      </c>
      <c r="N405" s="60"/>
    </row>
    <row r="406" spans="1:14" x14ac:dyDescent="0.25">
      <c r="A406" s="45">
        <v>1112</v>
      </c>
      <c r="B406" s="45" t="s">
        <v>588</v>
      </c>
      <c r="C406" s="59">
        <v>43420</v>
      </c>
      <c r="D406" s="46" t="str">
        <f t="shared" si="22"/>
        <v>V</v>
      </c>
      <c r="E406" s="61">
        <f t="shared" si="21"/>
        <v>46</v>
      </c>
      <c r="F406" s="45" t="s">
        <v>76</v>
      </c>
      <c r="G406" s="51">
        <v>9</v>
      </c>
      <c r="H406" s="51">
        <v>10</v>
      </c>
      <c r="I406" s="51">
        <v>28</v>
      </c>
      <c r="J406" s="51">
        <v>41</v>
      </c>
      <c r="K406" s="51">
        <v>13</v>
      </c>
      <c r="L406" s="51">
        <v>12</v>
      </c>
      <c r="M406" s="51">
        <v>1</v>
      </c>
      <c r="N406" s="60" t="s">
        <v>589</v>
      </c>
    </row>
    <row r="407" spans="1:14" x14ac:dyDescent="0.25">
      <c r="A407" s="45">
        <v>1113</v>
      </c>
      <c r="B407" s="45" t="s">
        <v>590</v>
      </c>
      <c r="C407" s="59">
        <v>43424</v>
      </c>
      <c r="D407" s="46" t="str">
        <f t="shared" si="22"/>
        <v>M</v>
      </c>
      <c r="E407" s="61">
        <f t="shared" si="21"/>
        <v>47</v>
      </c>
      <c r="F407" s="45" t="s">
        <v>76</v>
      </c>
      <c r="G407" s="51">
        <v>6</v>
      </c>
      <c r="H407" s="51">
        <v>48</v>
      </c>
      <c r="I407" s="51">
        <v>19</v>
      </c>
      <c r="J407" s="51">
        <v>45</v>
      </c>
      <c r="K407" s="51">
        <v>39</v>
      </c>
      <c r="L407" s="51">
        <v>7</v>
      </c>
      <c r="M407" s="51">
        <v>12</v>
      </c>
      <c r="N407" s="60"/>
    </row>
    <row r="408" spans="1:14" x14ac:dyDescent="0.25">
      <c r="A408" s="45">
        <v>1114</v>
      </c>
      <c r="B408" s="45" t="s">
        <v>591</v>
      </c>
      <c r="C408" s="59">
        <v>43427</v>
      </c>
      <c r="D408" s="46" t="str">
        <f t="shared" si="22"/>
        <v>V</v>
      </c>
      <c r="E408" s="61">
        <f t="shared" si="21"/>
        <v>47</v>
      </c>
      <c r="F408" s="45" t="s">
        <v>76</v>
      </c>
      <c r="G408" s="51">
        <v>25</v>
      </c>
      <c r="H408" s="51">
        <v>30</v>
      </c>
      <c r="I408" s="51">
        <v>5</v>
      </c>
      <c r="J408" s="51">
        <v>26</v>
      </c>
      <c r="K408" s="51">
        <v>8</v>
      </c>
      <c r="L408" s="51">
        <v>3</v>
      </c>
      <c r="M408" s="51">
        <v>10</v>
      </c>
      <c r="N408" s="60" t="s">
        <v>592</v>
      </c>
    </row>
    <row r="409" spans="1:14" x14ac:dyDescent="0.25">
      <c r="A409" s="45">
        <v>1115</v>
      </c>
      <c r="B409" s="45" t="s">
        <v>593</v>
      </c>
      <c r="C409" s="59">
        <v>43431</v>
      </c>
      <c r="D409" s="46" t="str">
        <f t="shared" si="22"/>
        <v>M</v>
      </c>
      <c r="E409" s="61">
        <f t="shared" si="21"/>
        <v>48</v>
      </c>
      <c r="F409" s="45" t="s">
        <v>76</v>
      </c>
      <c r="G409" s="51">
        <v>17</v>
      </c>
      <c r="H409" s="51">
        <v>16</v>
      </c>
      <c r="I409" s="51">
        <v>4</v>
      </c>
      <c r="J409" s="51">
        <v>32</v>
      </c>
      <c r="K409" s="51">
        <v>18</v>
      </c>
      <c r="L409" s="51">
        <v>11</v>
      </c>
      <c r="M409" s="51">
        <v>2</v>
      </c>
      <c r="N409" s="60"/>
    </row>
    <row r="410" spans="1:14" x14ac:dyDescent="0.25">
      <c r="A410" s="45">
        <v>1116</v>
      </c>
      <c r="B410" s="45" t="s">
        <v>594</v>
      </c>
      <c r="C410" s="59">
        <v>43434</v>
      </c>
      <c r="D410" s="46" t="str">
        <f t="shared" si="22"/>
        <v>V</v>
      </c>
      <c r="E410" s="61">
        <f t="shared" si="21"/>
        <v>48</v>
      </c>
      <c r="F410" s="45" t="s">
        <v>76</v>
      </c>
      <c r="G410" s="51">
        <v>3</v>
      </c>
      <c r="H410" s="51">
        <v>10</v>
      </c>
      <c r="I410" s="51">
        <v>26</v>
      </c>
      <c r="J410" s="51">
        <v>23</v>
      </c>
      <c r="K410" s="51">
        <v>12</v>
      </c>
      <c r="L410" s="51">
        <v>12</v>
      </c>
      <c r="M410" s="51">
        <v>1</v>
      </c>
      <c r="N410" s="60" t="s">
        <v>595</v>
      </c>
    </row>
    <row r="411" spans="1:14" x14ac:dyDescent="0.25">
      <c r="A411" s="45">
        <v>1117</v>
      </c>
      <c r="B411" s="45" t="s">
        <v>596</v>
      </c>
      <c r="C411" s="59">
        <v>43438</v>
      </c>
      <c r="D411" s="46" t="str">
        <f t="shared" si="22"/>
        <v>M</v>
      </c>
      <c r="E411" s="61">
        <f t="shared" si="21"/>
        <v>49</v>
      </c>
      <c r="F411" s="45" t="s">
        <v>76</v>
      </c>
      <c r="G411" s="51">
        <v>21</v>
      </c>
      <c r="H411" s="51">
        <v>19</v>
      </c>
      <c r="I411" s="51">
        <v>45</v>
      </c>
      <c r="J411" s="51">
        <v>20</v>
      </c>
      <c r="K411" s="51">
        <v>42</v>
      </c>
      <c r="L411" s="51">
        <v>8</v>
      </c>
      <c r="M411" s="51">
        <v>9</v>
      </c>
      <c r="N411" s="60"/>
    </row>
    <row r="412" spans="1:14" x14ac:dyDescent="0.25">
      <c r="A412" s="45">
        <v>1118</v>
      </c>
      <c r="B412" s="45" t="s">
        <v>597</v>
      </c>
      <c r="C412" s="59">
        <v>43441</v>
      </c>
      <c r="D412" s="46" t="str">
        <f t="shared" si="22"/>
        <v>V</v>
      </c>
      <c r="E412" s="61">
        <f t="shared" si="21"/>
        <v>49</v>
      </c>
      <c r="F412" s="45" t="s">
        <v>76</v>
      </c>
      <c r="G412" s="51">
        <v>17</v>
      </c>
      <c r="H412" s="51">
        <v>11</v>
      </c>
      <c r="I412" s="51">
        <v>37</v>
      </c>
      <c r="J412" s="51">
        <v>48</v>
      </c>
      <c r="K412" s="51">
        <v>26</v>
      </c>
      <c r="L412" s="51">
        <v>1</v>
      </c>
      <c r="M412" s="51">
        <v>10</v>
      </c>
      <c r="N412" s="60" t="s">
        <v>598</v>
      </c>
    </row>
    <row r="413" spans="1:14" x14ac:dyDescent="0.25">
      <c r="A413" s="45">
        <v>1119</v>
      </c>
      <c r="B413" s="45" t="s">
        <v>599</v>
      </c>
      <c r="C413" s="59">
        <v>43445</v>
      </c>
      <c r="D413" s="46" t="str">
        <f t="shared" si="22"/>
        <v>M</v>
      </c>
      <c r="E413" s="61">
        <f t="shared" si="21"/>
        <v>50</v>
      </c>
      <c r="F413" s="45" t="s">
        <v>76</v>
      </c>
      <c r="G413" s="51">
        <v>4</v>
      </c>
      <c r="H413" s="51">
        <v>13</v>
      </c>
      <c r="I413" s="51">
        <v>7</v>
      </c>
      <c r="J413" s="51">
        <v>42</v>
      </c>
      <c r="K413" s="51">
        <v>23</v>
      </c>
      <c r="L413" s="51">
        <v>1</v>
      </c>
      <c r="M413" s="51">
        <v>3</v>
      </c>
      <c r="N413" s="60"/>
    </row>
    <row r="414" spans="1:14" x14ac:dyDescent="0.25">
      <c r="A414" s="45">
        <v>1120</v>
      </c>
      <c r="B414" s="45" t="s">
        <v>600</v>
      </c>
      <c r="C414" s="59">
        <v>43448</v>
      </c>
      <c r="D414" s="46" t="str">
        <f t="shared" si="22"/>
        <v>V</v>
      </c>
      <c r="E414" s="61">
        <f t="shared" si="21"/>
        <v>50</v>
      </c>
      <c r="F414" s="45" t="s">
        <v>76</v>
      </c>
      <c r="G414" s="51">
        <v>29</v>
      </c>
      <c r="H414" s="51">
        <v>12</v>
      </c>
      <c r="I414" s="51">
        <v>38</v>
      </c>
      <c r="J414" s="51">
        <v>44</v>
      </c>
      <c r="K414" s="51">
        <v>42</v>
      </c>
      <c r="L414" s="51">
        <v>12</v>
      </c>
      <c r="M414" s="51">
        <v>2</v>
      </c>
      <c r="N414" s="60" t="s">
        <v>601</v>
      </c>
    </row>
    <row r="415" spans="1:14" x14ac:dyDescent="0.25">
      <c r="A415" s="45">
        <v>1121</v>
      </c>
      <c r="B415" s="45" t="s">
        <v>602</v>
      </c>
      <c r="C415" s="59">
        <v>43452</v>
      </c>
      <c r="D415" s="46" t="str">
        <f t="shared" si="22"/>
        <v>M</v>
      </c>
      <c r="E415" s="61">
        <f t="shared" si="21"/>
        <v>51</v>
      </c>
      <c r="F415" s="45" t="s">
        <v>76</v>
      </c>
      <c r="G415" s="51">
        <v>1</v>
      </c>
      <c r="H415" s="51">
        <v>18</v>
      </c>
      <c r="I415" s="51">
        <v>39</v>
      </c>
      <c r="J415" s="51">
        <v>48</v>
      </c>
      <c r="K415" s="51">
        <v>9</v>
      </c>
      <c r="L415" s="51">
        <v>7</v>
      </c>
      <c r="M415" s="51">
        <v>5</v>
      </c>
      <c r="N415" s="60"/>
    </row>
    <row r="416" spans="1:14" x14ac:dyDescent="0.25">
      <c r="A416" s="45">
        <v>1122</v>
      </c>
      <c r="B416" s="45" t="s">
        <v>603</v>
      </c>
      <c r="C416" s="59">
        <v>43455</v>
      </c>
      <c r="D416" s="46" t="str">
        <f t="shared" si="22"/>
        <v>V</v>
      </c>
      <c r="E416" s="61">
        <f t="shared" si="21"/>
        <v>51</v>
      </c>
      <c r="F416" s="45" t="s">
        <v>76</v>
      </c>
      <c r="G416" s="51">
        <v>12</v>
      </c>
      <c r="H416" s="51">
        <v>2</v>
      </c>
      <c r="I416" s="51">
        <v>34</v>
      </c>
      <c r="J416" s="51">
        <v>50</v>
      </c>
      <c r="K416" s="51">
        <v>15</v>
      </c>
      <c r="L416" s="51">
        <v>4</v>
      </c>
      <c r="M416" s="51">
        <v>3</v>
      </c>
      <c r="N416" s="60" t="s">
        <v>604</v>
      </c>
    </row>
    <row r="417" spans="1:14" x14ac:dyDescent="0.25">
      <c r="A417" s="45">
        <v>1123</v>
      </c>
      <c r="B417" s="45" t="s">
        <v>605</v>
      </c>
      <c r="C417" s="59">
        <v>43459</v>
      </c>
      <c r="D417" s="46" t="str">
        <f t="shared" si="22"/>
        <v>M</v>
      </c>
      <c r="E417" s="61">
        <f t="shared" si="21"/>
        <v>52</v>
      </c>
      <c r="F417" s="45" t="s">
        <v>76</v>
      </c>
      <c r="G417" s="51">
        <v>8</v>
      </c>
      <c r="H417" s="51">
        <v>4</v>
      </c>
      <c r="I417" s="51">
        <v>43</v>
      </c>
      <c r="J417" s="51">
        <v>31</v>
      </c>
      <c r="K417" s="51">
        <v>5</v>
      </c>
      <c r="L417" s="51">
        <v>9</v>
      </c>
      <c r="M417" s="51">
        <v>2</v>
      </c>
      <c r="N417" s="60"/>
    </row>
    <row r="418" spans="1:14" x14ac:dyDescent="0.25">
      <c r="A418" s="45">
        <v>1124</v>
      </c>
      <c r="B418" s="45" t="s">
        <v>606</v>
      </c>
      <c r="C418" s="59">
        <v>43462</v>
      </c>
      <c r="D418" s="46" t="str">
        <f t="shared" si="22"/>
        <v>V</v>
      </c>
      <c r="E418" s="61">
        <f t="shared" si="21"/>
        <v>52</v>
      </c>
      <c r="F418" s="45" t="s">
        <v>76</v>
      </c>
      <c r="G418" s="51">
        <v>34</v>
      </c>
      <c r="H418" s="51">
        <v>16</v>
      </c>
      <c r="I418" s="51">
        <v>35</v>
      </c>
      <c r="J418" s="51">
        <v>45</v>
      </c>
      <c r="K418" s="51">
        <v>13</v>
      </c>
      <c r="L418" s="51">
        <v>10</v>
      </c>
      <c r="M418" s="51">
        <v>12</v>
      </c>
      <c r="N418" s="60" t="s">
        <v>607</v>
      </c>
    </row>
    <row r="419" spans="1:14" x14ac:dyDescent="0.25">
      <c r="A419" s="45">
        <v>1125</v>
      </c>
      <c r="B419" s="45" t="s">
        <v>608</v>
      </c>
      <c r="C419" s="59">
        <v>43466</v>
      </c>
      <c r="D419" s="46" t="str">
        <f t="shared" si="22"/>
        <v>M</v>
      </c>
      <c r="E419" s="61">
        <f t="shared" si="21"/>
        <v>1</v>
      </c>
      <c r="F419" s="45" t="s">
        <v>76</v>
      </c>
      <c r="G419" s="51">
        <v>11</v>
      </c>
      <c r="H419" s="51">
        <v>25</v>
      </c>
      <c r="I419" s="51">
        <v>8</v>
      </c>
      <c r="J419" s="51">
        <v>28</v>
      </c>
      <c r="K419" s="51">
        <v>1</v>
      </c>
      <c r="L419" s="51">
        <v>4</v>
      </c>
      <c r="M419" s="51">
        <v>6</v>
      </c>
      <c r="N419" s="60"/>
    </row>
    <row r="420" spans="1:14" x14ac:dyDescent="0.25">
      <c r="A420" s="45">
        <v>1126</v>
      </c>
      <c r="B420" s="45" t="s">
        <v>609</v>
      </c>
      <c r="C420" s="59">
        <v>43469</v>
      </c>
      <c r="D420" s="46" t="str">
        <f t="shared" si="22"/>
        <v>V</v>
      </c>
      <c r="E420" s="61">
        <f t="shared" si="21"/>
        <v>1</v>
      </c>
      <c r="F420" s="45" t="s">
        <v>76</v>
      </c>
      <c r="G420" s="51">
        <v>19</v>
      </c>
      <c r="H420" s="51">
        <v>7</v>
      </c>
      <c r="I420" s="51">
        <v>11</v>
      </c>
      <c r="J420" s="51">
        <v>37</v>
      </c>
      <c r="K420" s="51">
        <v>27</v>
      </c>
      <c r="L420" s="51">
        <v>10</v>
      </c>
      <c r="M420" s="51">
        <v>6</v>
      </c>
      <c r="N420" s="60" t="s">
        <v>610</v>
      </c>
    </row>
    <row r="421" spans="1:14" x14ac:dyDescent="0.25">
      <c r="A421" s="45">
        <v>1127</v>
      </c>
      <c r="B421" s="45" t="s">
        <v>611</v>
      </c>
      <c r="C421" s="59">
        <v>43473</v>
      </c>
      <c r="D421" s="46" t="str">
        <f t="shared" si="22"/>
        <v>M</v>
      </c>
      <c r="E421" s="61">
        <f t="shared" si="21"/>
        <v>2</v>
      </c>
      <c r="F421" s="45" t="s">
        <v>76</v>
      </c>
      <c r="G421" s="51">
        <v>19</v>
      </c>
      <c r="H421" s="51">
        <v>32</v>
      </c>
      <c r="I421" s="51">
        <v>31</v>
      </c>
      <c r="J421" s="51">
        <v>3</v>
      </c>
      <c r="K421" s="51">
        <v>22</v>
      </c>
      <c r="L421" s="51">
        <v>2</v>
      </c>
      <c r="M421" s="51">
        <v>11</v>
      </c>
      <c r="N421" s="60"/>
    </row>
    <row r="422" spans="1:14" x14ac:dyDescent="0.25">
      <c r="A422" s="45">
        <v>1128</v>
      </c>
      <c r="B422" s="45" t="s">
        <v>612</v>
      </c>
      <c r="C422" s="59">
        <v>43476</v>
      </c>
      <c r="D422" s="46" t="str">
        <f t="shared" si="22"/>
        <v>V</v>
      </c>
      <c r="E422" s="61">
        <f>WEEKNUM(C422,21)</f>
        <v>2</v>
      </c>
      <c r="F422" s="45" t="s">
        <v>76</v>
      </c>
      <c r="G422" s="51">
        <v>19</v>
      </c>
      <c r="H422" s="51">
        <v>48</v>
      </c>
      <c r="I422" s="51">
        <v>31</v>
      </c>
      <c r="J422" s="51">
        <v>39</v>
      </c>
      <c r="K422" s="51">
        <v>1</v>
      </c>
      <c r="L422" s="51">
        <v>6</v>
      </c>
      <c r="M422" s="51">
        <v>1</v>
      </c>
      <c r="N422" s="60" t="s">
        <v>613</v>
      </c>
    </row>
    <row r="423" spans="1:14" x14ac:dyDescent="0.25">
      <c r="A423" s="45">
        <v>1129</v>
      </c>
      <c r="B423" s="45" t="s">
        <v>614</v>
      </c>
      <c r="C423" s="59">
        <v>43480</v>
      </c>
      <c r="D423" s="46" t="str">
        <f t="shared" si="22"/>
        <v>M</v>
      </c>
      <c r="E423" s="61">
        <f t="shared" ref="E423:E425" si="23">WEEKNUM(C423,21)</f>
        <v>3</v>
      </c>
      <c r="F423" s="45" t="s">
        <v>76</v>
      </c>
      <c r="G423" s="51">
        <v>33</v>
      </c>
      <c r="H423" s="51">
        <v>22</v>
      </c>
      <c r="I423" s="51">
        <v>35</v>
      </c>
      <c r="J423" s="51">
        <v>25</v>
      </c>
      <c r="K423" s="51">
        <v>29</v>
      </c>
      <c r="L423" s="51">
        <v>3</v>
      </c>
      <c r="M423" s="51">
        <v>6</v>
      </c>
      <c r="N423" s="60"/>
    </row>
    <row r="424" spans="1:14" x14ac:dyDescent="0.25">
      <c r="A424" s="45">
        <v>1130</v>
      </c>
      <c r="B424" s="45" t="s">
        <v>615</v>
      </c>
      <c r="C424" s="59">
        <v>43483</v>
      </c>
      <c r="D424" s="46" t="str">
        <f t="shared" si="22"/>
        <v>V</v>
      </c>
      <c r="E424" s="61">
        <f t="shared" si="23"/>
        <v>3</v>
      </c>
      <c r="F424" s="45" t="s">
        <v>76</v>
      </c>
      <c r="G424" s="51">
        <v>5</v>
      </c>
      <c r="H424" s="51">
        <v>16</v>
      </c>
      <c r="I424" s="51">
        <v>46</v>
      </c>
      <c r="J424" s="51">
        <v>6</v>
      </c>
      <c r="K424" s="51">
        <v>30</v>
      </c>
      <c r="L424" s="51">
        <v>5</v>
      </c>
      <c r="M424" s="51">
        <v>10</v>
      </c>
      <c r="N424" s="60" t="s">
        <v>616</v>
      </c>
    </row>
    <row r="425" spans="1:14" x14ac:dyDescent="0.25">
      <c r="A425" s="45">
        <v>1131</v>
      </c>
      <c r="B425" s="45" t="s">
        <v>617</v>
      </c>
      <c r="C425" s="59">
        <v>43487</v>
      </c>
      <c r="D425" s="46" t="str">
        <f t="shared" si="22"/>
        <v>M</v>
      </c>
      <c r="E425" s="61">
        <f t="shared" si="23"/>
        <v>4</v>
      </c>
      <c r="F425" s="45" t="s">
        <v>76</v>
      </c>
      <c r="G425" s="51">
        <v>29</v>
      </c>
      <c r="H425" s="51">
        <v>49</v>
      </c>
      <c r="I425" s="51">
        <v>41</v>
      </c>
      <c r="J425" s="51">
        <v>9</v>
      </c>
      <c r="K425" s="51">
        <v>23</v>
      </c>
      <c r="L425" s="51">
        <v>8</v>
      </c>
      <c r="M425" s="51">
        <v>10</v>
      </c>
      <c r="N425" s="60"/>
    </row>
    <row r="426" spans="1:14" x14ac:dyDescent="0.25">
      <c r="A426" s="45">
        <v>1132</v>
      </c>
      <c r="B426" s="45" t="s">
        <v>618</v>
      </c>
      <c r="C426" s="59">
        <v>43490</v>
      </c>
      <c r="D426" s="46" t="str">
        <f t="shared" si="22"/>
        <v>V</v>
      </c>
      <c r="E426" s="61">
        <f>WEEKNUM(C426,21)</f>
        <v>4</v>
      </c>
      <c r="F426" s="45" t="s">
        <v>76</v>
      </c>
      <c r="G426" s="51">
        <v>15</v>
      </c>
      <c r="H426" s="51">
        <v>16</v>
      </c>
      <c r="I426" s="51">
        <v>13</v>
      </c>
      <c r="J426" s="51">
        <v>6</v>
      </c>
      <c r="K426" s="51">
        <v>1</v>
      </c>
      <c r="L426" s="51">
        <v>6</v>
      </c>
      <c r="M426" s="51">
        <v>10</v>
      </c>
      <c r="N426" s="60" t="s">
        <v>619</v>
      </c>
    </row>
    <row r="427" spans="1:14" x14ac:dyDescent="0.25">
      <c r="A427" s="45">
        <v>1133</v>
      </c>
      <c r="B427" s="45" t="s">
        <v>620</v>
      </c>
      <c r="C427" s="59">
        <v>43494</v>
      </c>
      <c r="D427" s="46" t="str">
        <f t="shared" si="22"/>
        <v>M</v>
      </c>
      <c r="E427" s="61">
        <f t="shared" ref="E427:E490" si="24">WEEKNUM(C427,21)</f>
        <v>5</v>
      </c>
      <c r="F427" s="45" t="s">
        <v>76</v>
      </c>
      <c r="G427" s="51">
        <v>39</v>
      </c>
      <c r="H427" s="51">
        <v>14</v>
      </c>
      <c r="I427" s="51">
        <v>24</v>
      </c>
      <c r="J427" s="51">
        <v>32</v>
      </c>
      <c r="K427" s="51">
        <v>26</v>
      </c>
      <c r="L427" s="51">
        <v>8</v>
      </c>
      <c r="M427" s="51">
        <v>3</v>
      </c>
      <c r="N427" s="60"/>
    </row>
    <row r="428" spans="1:14" x14ac:dyDescent="0.25">
      <c r="A428" s="45">
        <v>1134</v>
      </c>
      <c r="B428" s="45" t="s">
        <v>621</v>
      </c>
      <c r="C428" s="59">
        <v>43497</v>
      </c>
      <c r="D428" s="46" t="str">
        <f t="shared" si="22"/>
        <v>V</v>
      </c>
      <c r="E428" s="61">
        <f t="shared" si="24"/>
        <v>5</v>
      </c>
      <c r="F428" s="45" t="s">
        <v>76</v>
      </c>
      <c r="G428" s="51">
        <v>3</v>
      </c>
      <c r="H428" s="51">
        <v>41</v>
      </c>
      <c r="I428" s="51">
        <v>26</v>
      </c>
      <c r="J428" s="51">
        <v>46</v>
      </c>
      <c r="K428" s="51">
        <v>21</v>
      </c>
      <c r="L428" s="51">
        <v>6</v>
      </c>
      <c r="M428" s="51">
        <v>1</v>
      </c>
      <c r="N428" s="60" t="s">
        <v>622</v>
      </c>
    </row>
    <row r="429" spans="1:14" x14ac:dyDescent="0.25">
      <c r="A429" s="45">
        <v>1135</v>
      </c>
      <c r="B429" s="45" t="s">
        <v>623</v>
      </c>
      <c r="C429" s="59">
        <v>43501</v>
      </c>
      <c r="D429" s="46" t="str">
        <f t="shared" si="22"/>
        <v>M</v>
      </c>
      <c r="E429" s="61">
        <f t="shared" si="24"/>
        <v>6</v>
      </c>
      <c r="F429" s="45" t="s">
        <v>76</v>
      </c>
      <c r="G429" s="51">
        <v>31</v>
      </c>
      <c r="H429" s="51">
        <v>43</v>
      </c>
      <c r="I429" s="51">
        <v>14</v>
      </c>
      <c r="J429" s="51">
        <v>25</v>
      </c>
      <c r="K429" s="51">
        <v>37</v>
      </c>
      <c r="L429" s="51">
        <v>2</v>
      </c>
      <c r="M429" s="51">
        <v>3</v>
      </c>
      <c r="N429" s="60"/>
    </row>
    <row r="430" spans="1:14" x14ac:dyDescent="0.25">
      <c r="A430" s="45">
        <v>1136</v>
      </c>
      <c r="B430" s="45" t="s">
        <v>624</v>
      </c>
      <c r="C430" s="59">
        <v>43504</v>
      </c>
      <c r="D430" s="46" t="str">
        <f t="shared" si="22"/>
        <v>V</v>
      </c>
      <c r="E430" s="61">
        <f t="shared" si="24"/>
        <v>6</v>
      </c>
      <c r="F430" s="45" t="s">
        <v>76</v>
      </c>
      <c r="G430" s="51">
        <v>46</v>
      </c>
      <c r="H430" s="51">
        <v>12</v>
      </c>
      <c r="I430" s="51">
        <v>13</v>
      </c>
      <c r="J430" s="51">
        <v>39</v>
      </c>
      <c r="K430" s="51">
        <v>11</v>
      </c>
      <c r="L430" s="51">
        <v>7</v>
      </c>
      <c r="M430" s="51">
        <v>10</v>
      </c>
      <c r="N430" s="60" t="s">
        <v>625</v>
      </c>
    </row>
    <row r="431" spans="1:14" x14ac:dyDescent="0.25">
      <c r="A431" s="45">
        <v>1137</v>
      </c>
      <c r="B431" s="45" t="s">
        <v>626</v>
      </c>
      <c r="C431" s="59">
        <v>43508</v>
      </c>
      <c r="D431" s="46" t="str">
        <f t="shared" si="22"/>
        <v>M</v>
      </c>
      <c r="E431" s="61">
        <f t="shared" si="24"/>
        <v>7</v>
      </c>
      <c r="F431" s="45" t="s">
        <v>76</v>
      </c>
      <c r="G431" s="51">
        <v>34</v>
      </c>
      <c r="H431" s="51">
        <v>36</v>
      </c>
      <c r="I431" s="51">
        <v>50</v>
      </c>
      <c r="J431" s="51">
        <v>41</v>
      </c>
      <c r="K431" s="51">
        <v>6</v>
      </c>
      <c r="L431" s="51">
        <v>1</v>
      </c>
      <c r="M431" s="51">
        <v>5</v>
      </c>
      <c r="N431" s="60"/>
    </row>
    <row r="432" spans="1:14" x14ac:dyDescent="0.25">
      <c r="A432" s="45">
        <v>1138</v>
      </c>
      <c r="B432" s="45" t="s">
        <v>627</v>
      </c>
      <c r="C432" s="59">
        <v>43511</v>
      </c>
      <c r="D432" s="46" t="str">
        <f t="shared" si="22"/>
        <v>V</v>
      </c>
      <c r="E432" s="61">
        <f t="shared" si="24"/>
        <v>7</v>
      </c>
      <c r="F432" s="45" t="s">
        <v>76</v>
      </c>
      <c r="G432" s="51">
        <v>49</v>
      </c>
      <c r="H432" s="51">
        <v>38</v>
      </c>
      <c r="I432" s="51">
        <v>27</v>
      </c>
      <c r="J432" s="51">
        <v>34</v>
      </c>
      <c r="K432" s="51">
        <v>15</v>
      </c>
      <c r="L432" s="51">
        <v>2</v>
      </c>
      <c r="M432" s="51">
        <v>10</v>
      </c>
      <c r="N432" s="60" t="s">
        <v>628</v>
      </c>
    </row>
    <row r="433" spans="1:14" x14ac:dyDescent="0.25">
      <c r="A433" s="45">
        <v>1139</v>
      </c>
      <c r="B433" s="45" t="s">
        <v>629</v>
      </c>
      <c r="C433" s="59">
        <v>43515</v>
      </c>
      <c r="D433" s="46" t="str">
        <f t="shared" si="22"/>
        <v>M</v>
      </c>
      <c r="E433" s="61">
        <f t="shared" si="24"/>
        <v>8</v>
      </c>
      <c r="F433" s="45" t="s">
        <v>76</v>
      </c>
      <c r="G433" s="51">
        <v>19</v>
      </c>
      <c r="H433" s="51">
        <v>8</v>
      </c>
      <c r="I433" s="51">
        <v>18</v>
      </c>
      <c r="J433" s="51">
        <v>1</v>
      </c>
      <c r="K433" s="51">
        <v>39</v>
      </c>
      <c r="L433" s="51">
        <v>9</v>
      </c>
      <c r="M433" s="51">
        <v>7</v>
      </c>
      <c r="N433" s="60"/>
    </row>
    <row r="434" spans="1:14" x14ac:dyDescent="0.25">
      <c r="A434" s="45">
        <v>1140</v>
      </c>
      <c r="B434" s="45" t="s">
        <v>630</v>
      </c>
      <c r="C434" s="59">
        <v>43518</v>
      </c>
      <c r="D434" s="46" t="str">
        <f t="shared" si="22"/>
        <v>V</v>
      </c>
      <c r="E434" s="61">
        <f t="shared" si="24"/>
        <v>8</v>
      </c>
      <c r="F434" s="45" t="s">
        <v>76</v>
      </c>
      <c r="G434" s="51">
        <v>50</v>
      </c>
      <c r="H434" s="51">
        <v>33</v>
      </c>
      <c r="I434" s="51">
        <v>29</v>
      </c>
      <c r="J434" s="51">
        <v>3</v>
      </c>
      <c r="K434" s="51">
        <v>27</v>
      </c>
      <c r="L434" s="51">
        <v>7</v>
      </c>
      <c r="M434" s="51">
        <v>3</v>
      </c>
      <c r="N434" s="60" t="s">
        <v>631</v>
      </c>
    </row>
    <row r="435" spans="1:14" x14ac:dyDescent="0.25">
      <c r="A435" s="45">
        <v>1141</v>
      </c>
      <c r="B435" s="45" t="s">
        <v>632</v>
      </c>
      <c r="C435" s="59">
        <v>43522</v>
      </c>
      <c r="D435" s="46" t="str">
        <f t="shared" si="22"/>
        <v>M</v>
      </c>
      <c r="E435" s="61">
        <f t="shared" si="24"/>
        <v>9</v>
      </c>
      <c r="F435" s="45" t="s">
        <v>76</v>
      </c>
      <c r="G435" s="51">
        <v>29</v>
      </c>
      <c r="H435" s="51">
        <v>47</v>
      </c>
      <c r="I435" s="51">
        <v>15</v>
      </c>
      <c r="J435" s="51">
        <v>3</v>
      </c>
      <c r="K435" s="51">
        <v>35</v>
      </c>
      <c r="L435" s="51">
        <v>4</v>
      </c>
      <c r="M435" s="51">
        <v>3</v>
      </c>
      <c r="N435" s="60"/>
    </row>
    <row r="436" spans="1:14" x14ac:dyDescent="0.25">
      <c r="A436" s="45">
        <v>1142</v>
      </c>
      <c r="B436" s="45" t="s">
        <v>633</v>
      </c>
      <c r="C436" s="59">
        <v>43525</v>
      </c>
      <c r="D436" s="46" t="str">
        <f t="shared" si="22"/>
        <v>V</v>
      </c>
      <c r="E436" s="61">
        <f t="shared" si="24"/>
        <v>9</v>
      </c>
      <c r="F436" s="45" t="s">
        <v>76</v>
      </c>
      <c r="G436" s="51">
        <v>9</v>
      </c>
      <c r="H436" s="51">
        <v>19</v>
      </c>
      <c r="I436" s="51">
        <v>26</v>
      </c>
      <c r="J436" s="51">
        <v>31</v>
      </c>
      <c r="K436" s="51">
        <v>6</v>
      </c>
      <c r="L436" s="51">
        <v>12</v>
      </c>
      <c r="M436" s="51">
        <v>11</v>
      </c>
      <c r="N436" s="60" t="s">
        <v>634</v>
      </c>
    </row>
    <row r="437" spans="1:14" x14ac:dyDescent="0.25">
      <c r="A437" s="45">
        <v>1143</v>
      </c>
      <c r="B437" s="45" t="s">
        <v>635</v>
      </c>
      <c r="C437" s="59">
        <v>43529</v>
      </c>
      <c r="D437" s="46" t="str">
        <f t="shared" si="22"/>
        <v>M</v>
      </c>
      <c r="E437" s="61">
        <f t="shared" si="24"/>
        <v>10</v>
      </c>
      <c r="F437" s="45" t="s">
        <v>76</v>
      </c>
      <c r="G437" s="51">
        <v>16</v>
      </c>
      <c r="H437" s="51">
        <v>10</v>
      </c>
      <c r="I437" s="51">
        <v>46</v>
      </c>
      <c r="J437" s="51">
        <v>39</v>
      </c>
      <c r="K437" s="51">
        <v>6</v>
      </c>
      <c r="L437" s="51">
        <v>8</v>
      </c>
      <c r="M437" s="51">
        <v>11</v>
      </c>
      <c r="N437" s="60" t="s">
        <v>636</v>
      </c>
    </row>
    <row r="438" spans="1:14" x14ac:dyDescent="0.25">
      <c r="A438" s="45">
        <v>1144</v>
      </c>
      <c r="B438" s="45" t="s">
        <v>637</v>
      </c>
      <c r="C438" s="59">
        <v>43532</v>
      </c>
      <c r="D438" s="46" t="str">
        <f t="shared" si="22"/>
        <v>V</v>
      </c>
      <c r="E438" s="61">
        <f t="shared" si="24"/>
        <v>10</v>
      </c>
      <c r="F438" s="45" t="s">
        <v>76</v>
      </c>
      <c r="G438" s="51">
        <v>40</v>
      </c>
      <c r="H438" s="51">
        <v>17</v>
      </c>
      <c r="I438" s="51">
        <v>24</v>
      </c>
      <c r="J438" s="51">
        <v>19</v>
      </c>
      <c r="K438" s="51">
        <v>18</v>
      </c>
      <c r="L438" s="51">
        <v>8</v>
      </c>
      <c r="M438" s="51">
        <v>4</v>
      </c>
      <c r="N438" s="60" t="s">
        <v>638</v>
      </c>
    </row>
    <row r="439" spans="1:14" x14ac:dyDescent="0.25">
      <c r="A439" s="45">
        <v>1145</v>
      </c>
      <c r="B439" s="45" t="s">
        <v>639</v>
      </c>
      <c r="C439" s="59">
        <v>43536</v>
      </c>
      <c r="D439" s="46" t="str">
        <f t="shared" si="22"/>
        <v>M</v>
      </c>
      <c r="E439" s="61">
        <f t="shared" si="24"/>
        <v>11</v>
      </c>
      <c r="F439" s="45" t="s">
        <v>76</v>
      </c>
      <c r="G439" s="51">
        <v>5</v>
      </c>
      <c r="H439" s="51">
        <v>13</v>
      </c>
      <c r="I439" s="51">
        <v>7</v>
      </c>
      <c r="J439" s="51">
        <v>19</v>
      </c>
      <c r="K439" s="51">
        <v>31</v>
      </c>
      <c r="L439" s="51">
        <v>9</v>
      </c>
      <c r="M439" s="51">
        <v>2</v>
      </c>
      <c r="N439" s="60" t="s">
        <v>640</v>
      </c>
    </row>
    <row r="440" spans="1:14" x14ac:dyDescent="0.25">
      <c r="A440" s="45">
        <v>1146</v>
      </c>
      <c r="B440" s="45" t="s">
        <v>641</v>
      </c>
      <c r="C440" s="59">
        <v>43539</v>
      </c>
      <c r="D440" s="46" t="str">
        <f t="shared" si="22"/>
        <v>V</v>
      </c>
      <c r="E440" s="61">
        <f t="shared" si="24"/>
        <v>11</v>
      </c>
      <c r="F440" s="45" t="s">
        <v>76</v>
      </c>
      <c r="G440" s="51">
        <v>46</v>
      </c>
      <c r="H440" s="51">
        <v>24</v>
      </c>
      <c r="I440" s="51">
        <v>42</v>
      </c>
      <c r="J440" s="51">
        <v>15</v>
      </c>
      <c r="K440" s="51">
        <v>3</v>
      </c>
      <c r="L440" s="51">
        <v>12</v>
      </c>
      <c r="M440" s="51">
        <v>9</v>
      </c>
      <c r="N440" s="60" t="s">
        <v>642</v>
      </c>
    </row>
    <row r="441" spans="1:14" x14ac:dyDescent="0.25">
      <c r="A441" s="45">
        <v>1147</v>
      </c>
      <c r="B441" s="45" t="s">
        <v>643</v>
      </c>
      <c r="C441" s="59">
        <v>43543</v>
      </c>
      <c r="D441" s="46" t="str">
        <f t="shared" si="22"/>
        <v>M</v>
      </c>
      <c r="E441" s="61">
        <f t="shared" si="24"/>
        <v>12</v>
      </c>
      <c r="F441" s="45" t="s">
        <v>76</v>
      </c>
      <c r="G441" s="52">
        <v>9</v>
      </c>
      <c r="H441" s="52">
        <v>6</v>
      </c>
      <c r="I441" s="52">
        <v>1</v>
      </c>
      <c r="J441" s="52">
        <v>47</v>
      </c>
      <c r="K441" s="52">
        <v>34</v>
      </c>
      <c r="L441" s="52">
        <v>12</v>
      </c>
      <c r="M441" s="52">
        <v>7</v>
      </c>
      <c r="N441" s="60" t="s">
        <v>644</v>
      </c>
    </row>
    <row r="442" spans="1:14" x14ac:dyDescent="0.25">
      <c r="A442" s="45">
        <v>1148</v>
      </c>
      <c r="B442" s="45" t="s">
        <v>645</v>
      </c>
      <c r="C442" s="59">
        <v>43546</v>
      </c>
      <c r="D442" s="46" t="str">
        <f t="shared" si="22"/>
        <v>V</v>
      </c>
      <c r="E442" s="61">
        <f t="shared" si="24"/>
        <v>12</v>
      </c>
      <c r="F442" s="45" t="s">
        <v>76</v>
      </c>
      <c r="G442" s="52">
        <v>17</v>
      </c>
      <c r="H442" s="52">
        <v>43</v>
      </c>
      <c r="I442" s="52">
        <v>26</v>
      </c>
      <c r="J442" s="52">
        <v>4</v>
      </c>
      <c r="K442" s="52">
        <v>30</v>
      </c>
      <c r="L442" s="52">
        <v>11</v>
      </c>
      <c r="M442" s="52">
        <v>6</v>
      </c>
      <c r="N442" s="60" t="s">
        <v>646</v>
      </c>
    </row>
    <row r="443" spans="1:14" x14ac:dyDescent="0.25">
      <c r="A443" s="45">
        <v>1149</v>
      </c>
      <c r="B443" s="45" t="s">
        <v>647</v>
      </c>
      <c r="C443" s="59">
        <v>43550</v>
      </c>
      <c r="D443" s="46" t="str">
        <f t="shared" si="22"/>
        <v>M</v>
      </c>
      <c r="E443" s="61">
        <f t="shared" si="24"/>
        <v>13</v>
      </c>
      <c r="F443" s="45" t="s">
        <v>76</v>
      </c>
      <c r="G443" s="52">
        <v>47</v>
      </c>
      <c r="H443" s="52">
        <v>43</v>
      </c>
      <c r="I443" s="52">
        <v>19</v>
      </c>
      <c r="J443" s="52">
        <v>23</v>
      </c>
      <c r="K443" s="52">
        <v>12</v>
      </c>
      <c r="L443" s="52">
        <v>2</v>
      </c>
      <c r="M443" s="52">
        <v>6</v>
      </c>
      <c r="N443" s="60" t="s">
        <v>648</v>
      </c>
    </row>
    <row r="444" spans="1:14" x14ac:dyDescent="0.25">
      <c r="A444" s="45">
        <v>1150</v>
      </c>
      <c r="B444" s="45" t="s">
        <v>649</v>
      </c>
      <c r="C444" s="59">
        <v>43553</v>
      </c>
      <c r="D444" s="46" t="str">
        <f t="shared" si="22"/>
        <v>V</v>
      </c>
      <c r="E444" s="61">
        <f t="shared" si="24"/>
        <v>13</v>
      </c>
      <c r="F444" s="45" t="s">
        <v>76</v>
      </c>
      <c r="G444" s="52">
        <v>13</v>
      </c>
      <c r="H444" s="52">
        <v>23</v>
      </c>
      <c r="I444" s="52">
        <v>26</v>
      </c>
      <c r="J444" s="52">
        <v>47</v>
      </c>
      <c r="K444" s="52">
        <v>32</v>
      </c>
      <c r="L444" s="52">
        <v>6</v>
      </c>
      <c r="M444" s="52">
        <v>10</v>
      </c>
      <c r="N444" s="60" t="s">
        <v>650</v>
      </c>
    </row>
    <row r="445" spans="1:14" x14ac:dyDescent="0.25">
      <c r="A445" s="45">
        <v>1151</v>
      </c>
      <c r="B445" s="47" t="s">
        <v>651</v>
      </c>
      <c r="C445" s="59">
        <v>43557</v>
      </c>
      <c r="D445" s="46" t="str">
        <f t="shared" si="22"/>
        <v>M</v>
      </c>
      <c r="E445" s="61">
        <f t="shared" si="24"/>
        <v>14</v>
      </c>
      <c r="F445" s="45" t="s">
        <v>76</v>
      </c>
      <c r="G445" s="52">
        <v>9</v>
      </c>
      <c r="H445" s="52">
        <v>26</v>
      </c>
      <c r="I445" s="52">
        <v>16</v>
      </c>
      <c r="J445" s="52">
        <v>2</v>
      </c>
      <c r="K445" s="52">
        <v>36</v>
      </c>
      <c r="L445" s="52">
        <v>6</v>
      </c>
      <c r="M445" s="52">
        <v>7</v>
      </c>
      <c r="N445" s="60" t="s">
        <v>652</v>
      </c>
    </row>
    <row r="446" spans="1:14" x14ac:dyDescent="0.25">
      <c r="A446" s="45">
        <v>1152</v>
      </c>
      <c r="B446" s="47" t="s">
        <v>653</v>
      </c>
      <c r="C446" s="59">
        <v>43560</v>
      </c>
      <c r="D446" s="46" t="str">
        <f t="shared" si="22"/>
        <v>V</v>
      </c>
      <c r="E446" s="61">
        <f t="shared" si="24"/>
        <v>14</v>
      </c>
      <c r="F446" s="45" t="s">
        <v>76</v>
      </c>
      <c r="G446" s="52">
        <v>7</v>
      </c>
      <c r="H446" s="52">
        <v>45</v>
      </c>
      <c r="I446" s="52">
        <v>10</v>
      </c>
      <c r="J446" s="52">
        <v>1</v>
      </c>
      <c r="K446" s="52">
        <v>29</v>
      </c>
      <c r="L446" s="52">
        <v>5</v>
      </c>
      <c r="M446" s="52">
        <v>3</v>
      </c>
      <c r="N446" s="60" t="s">
        <v>654</v>
      </c>
    </row>
    <row r="447" spans="1:14" x14ac:dyDescent="0.25">
      <c r="A447" s="45">
        <v>1153</v>
      </c>
      <c r="B447" s="47" t="s">
        <v>655</v>
      </c>
      <c r="C447" s="59">
        <v>43564</v>
      </c>
      <c r="D447" s="46" t="str">
        <f t="shared" si="22"/>
        <v>M</v>
      </c>
      <c r="E447" s="61">
        <f t="shared" si="24"/>
        <v>15</v>
      </c>
      <c r="F447" s="45" t="s">
        <v>76</v>
      </c>
      <c r="G447" s="52">
        <v>38</v>
      </c>
      <c r="H447" s="52">
        <v>41</v>
      </c>
      <c r="I447" s="52">
        <v>18</v>
      </c>
      <c r="J447" s="52">
        <v>29</v>
      </c>
      <c r="K447" s="52">
        <v>21</v>
      </c>
      <c r="L447" s="52">
        <v>1</v>
      </c>
      <c r="M447" s="52">
        <v>11</v>
      </c>
      <c r="N447" s="60" t="s">
        <v>656</v>
      </c>
    </row>
    <row r="448" spans="1:14" x14ac:dyDescent="0.25">
      <c r="A448" s="45">
        <v>1154</v>
      </c>
      <c r="B448" s="47" t="s">
        <v>657</v>
      </c>
      <c r="C448" s="59">
        <v>43567</v>
      </c>
      <c r="D448" s="46" t="str">
        <f t="shared" si="22"/>
        <v>V</v>
      </c>
      <c r="E448" s="61">
        <f t="shared" si="24"/>
        <v>15</v>
      </c>
      <c r="F448" s="45" t="s">
        <v>76</v>
      </c>
      <c r="G448" s="52">
        <v>46</v>
      </c>
      <c r="H448" s="52">
        <v>28</v>
      </c>
      <c r="I448" s="52">
        <v>1</v>
      </c>
      <c r="J448" s="52">
        <v>35</v>
      </c>
      <c r="K448" s="52">
        <v>36</v>
      </c>
      <c r="L448" s="52">
        <v>6</v>
      </c>
      <c r="M448" s="52">
        <v>9</v>
      </c>
      <c r="N448" s="60" t="s">
        <v>658</v>
      </c>
    </row>
    <row r="449" spans="1:14" x14ac:dyDescent="0.25">
      <c r="A449" s="45">
        <v>1155</v>
      </c>
      <c r="B449" s="47" t="s">
        <v>659</v>
      </c>
      <c r="C449" s="59">
        <v>43571</v>
      </c>
      <c r="D449" s="46" t="str">
        <f t="shared" si="22"/>
        <v>M</v>
      </c>
      <c r="E449" s="61">
        <f t="shared" si="24"/>
        <v>16</v>
      </c>
      <c r="F449" s="45" t="s">
        <v>76</v>
      </c>
      <c r="G449" s="52">
        <v>1</v>
      </c>
      <c r="H449" s="52">
        <v>49</v>
      </c>
      <c r="I449" s="52">
        <v>15</v>
      </c>
      <c r="J449" s="52">
        <v>8</v>
      </c>
      <c r="K449" s="52">
        <v>44</v>
      </c>
      <c r="L449" s="52">
        <v>2</v>
      </c>
      <c r="M449" s="52">
        <v>11</v>
      </c>
      <c r="N449" s="60" t="s">
        <v>660</v>
      </c>
    </row>
    <row r="450" spans="1:14" x14ac:dyDescent="0.25">
      <c r="A450" s="45">
        <v>1156</v>
      </c>
      <c r="B450" s="47" t="s">
        <v>661</v>
      </c>
      <c r="C450" s="59">
        <v>43574</v>
      </c>
      <c r="D450" s="46" t="str">
        <f t="shared" ref="D450:D513" si="25">CHOOSE(WEEKDAY(C450),"D","L","M","X","J","V","S")</f>
        <v>V</v>
      </c>
      <c r="E450" s="61">
        <f t="shared" si="24"/>
        <v>16</v>
      </c>
      <c r="F450" s="45" t="s">
        <v>76</v>
      </c>
      <c r="G450" s="52">
        <v>32</v>
      </c>
      <c r="H450" s="52">
        <v>49</v>
      </c>
      <c r="I450" s="52">
        <v>8</v>
      </c>
      <c r="J450" s="52">
        <v>7</v>
      </c>
      <c r="K450" s="52">
        <v>41</v>
      </c>
      <c r="L450" s="52">
        <v>11</v>
      </c>
      <c r="M450" s="52">
        <v>5</v>
      </c>
      <c r="N450" s="60" t="s">
        <v>662</v>
      </c>
    </row>
    <row r="451" spans="1:14" x14ac:dyDescent="0.25">
      <c r="A451" s="45">
        <v>1157</v>
      </c>
      <c r="B451" s="47" t="s">
        <v>663</v>
      </c>
      <c r="C451" s="59">
        <v>43578</v>
      </c>
      <c r="D451" s="46" t="str">
        <f t="shared" si="25"/>
        <v>M</v>
      </c>
      <c r="E451" s="61">
        <f t="shared" si="24"/>
        <v>17</v>
      </c>
      <c r="F451" s="45" t="s">
        <v>76</v>
      </c>
      <c r="G451" s="52">
        <v>23</v>
      </c>
      <c r="H451" s="52">
        <v>44</v>
      </c>
      <c r="I451" s="52">
        <v>18</v>
      </c>
      <c r="J451" s="52">
        <v>27</v>
      </c>
      <c r="K451" s="52">
        <v>42</v>
      </c>
      <c r="L451" s="52">
        <v>7</v>
      </c>
      <c r="M451" s="52">
        <v>2</v>
      </c>
      <c r="N451" s="60" t="s">
        <v>664</v>
      </c>
    </row>
    <row r="452" spans="1:14" x14ac:dyDescent="0.25">
      <c r="A452" s="45">
        <v>1158</v>
      </c>
      <c r="B452" s="47" t="s">
        <v>665</v>
      </c>
      <c r="C452" s="59">
        <v>43581</v>
      </c>
      <c r="D452" s="46" t="str">
        <f t="shared" si="25"/>
        <v>V</v>
      </c>
      <c r="E452" s="61">
        <f t="shared" si="24"/>
        <v>17</v>
      </c>
      <c r="F452" s="45" t="s">
        <v>76</v>
      </c>
      <c r="G452" s="52">
        <v>33</v>
      </c>
      <c r="H452" s="52">
        <v>35</v>
      </c>
      <c r="I452" s="52">
        <v>50</v>
      </c>
      <c r="J452" s="52">
        <v>47</v>
      </c>
      <c r="K452" s="52">
        <v>14</v>
      </c>
      <c r="L452" s="52">
        <v>11</v>
      </c>
      <c r="M452" s="52">
        <v>9</v>
      </c>
      <c r="N452" s="60" t="s">
        <v>666</v>
      </c>
    </row>
    <row r="453" spans="1:14" x14ac:dyDescent="0.25">
      <c r="A453" s="45">
        <v>1159</v>
      </c>
      <c r="B453" s="47" t="s">
        <v>667</v>
      </c>
      <c r="C453" s="59">
        <v>43585</v>
      </c>
      <c r="D453" s="46" t="str">
        <f t="shared" si="25"/>
        <v>M</v>
      </c>
      <c r="E453" s="61">
        <f t="shared" si="24"/>
        <v>18</v>
      </c>
      <c r="F453" s="45" t="s">
        <v>76</v>
      </c>
      <c r="G453" s="52">
        <v>20</v>
      </c>
      <c r="H453" s="52">
        <v>26</v>
      </c>
      <c r="I453" s="52">
        <v>12</v>
      </c>
      <c r="J453" s="52">
        <v>48</v>
      </c>
      <c r="K453" s="52">
        <v>5</v>
      </c>
      <c r="L453" s="52">
        <v>2</v>
      </c>
      <c r="M453" s="52">
        <v>11</v>
      </c>
      <c r="N453" s="60" t="s">
        <v>668</v>
      </c>
    </row>
    <row r="454" spans="1:14" x14ac:dyDescent="0.25">
      <c r="A454" s="45">
        <v>1160</v>
      </c>
      <c r="B454" s="47" t="s">
        <v>669</v>
      </c>
      <c r="C454" s="59">
        <v>43588</v>
      </c>
      <c r="D454" s="46" t="str">
        <f t="shared" si="25"/>
        <v>V</v>
      </c>
      <c r="E454" s="61">
        <f t="shared" si="24"/>
        <v>18</v>
      </c>
      <c r="F454" s="45" t="s">
        <v>76</v>
      </c>
      <c r="G454" s="52">
        <v>2</v>
      </c>
      <c r="H454" s="52">
        <v>20</v>
      </c>
      <c r="I454" s="52">
        <v>27</v>
      </c>
      <c r="J454" s="52">
        <v>43</v>
      </c>
      <c r="K454" s="52">
        <v>9</v>
      </c>
      <c r="L454" s="52">
        <v>5</v>
      </c>
      <c r="M454" s="52">
        <v>6</v>
      </c>
      <c r="N454" s="60" t="s">
        <v>670</v>
      </c>
    </row>
    <row r="455" spans="1:14" x14ac:dyDescent="0.25">
      <c r="A455" s="45">
        <v>1161</v>
      </c>
      <c r="B455" s="47" t="s">
        <v>671</v>
      </c>
      <c r="C455" s="59">
        <v>43592</v>
      </c>
      <c r="D455" s="46" t="str">
        <f t="shared" si="25"/>
        <v>M</v>
      </c>
      <c r="E455" s="61">
        <f t="shared" si="24"/>
        <v>19</v>
      </c>
      <c r="F455" s="45" t="s">
        <v>76</v>
      </c>
      <c r="G455" s="52">
        <v>32</v>
      </c>
      <c r="H455" s="52">
        <v>20</v>
      </c>
      <c r="I455" s="52">
        <v>47</v>
      </c>
      <c r="J455" s="52">
        <v>7</v>
      </c>
      <c r="K455" s="52">
        <v>26</v>
      </c>
      <c r="L455" s="52">
        <v>2</v>
      </c>
      <c r="M455" s="52">
        <v>11</v>
      </c>
      <c r="N455" s="60" t="s">
        <v>672</v>
      </c>
    </row>
    <row r="456" spans="1:14" x14ac:dyDescent="0.25">
      <c r="A456" s="45">
        <v>1162</v>
      </c>
      <c r="B456" s="47" t="s">
        <v>673</v>
      </c>
      <c r="C456" s="59">
        <v>43595</v>
      </c>
      <c r="D456" s="46" t="str">
        <f t="shared" si="25"/>
        <v>V</v>
      </c>
      <c r="E456" s="61">
        <f t="shared" si="24"/>
        <v>19</v>
      </c>
      <c r="F456" s="45" t="s">
        <v>76</v>
      </c>
      <c r="G456" s="52">
        <v>1</v>
      </c>
      <c r="H456" s="52">
        <v>45</v>
      </c>
      <c r="I456" s="52">
        <v>27</v>
      </c>
      <c r="J456" s="52">
        <v>4</v>
      </c>
      <c r="K456" s="52">
        <v>48</v>
      </c>
      <c r="L456" s="52">
        <v>7</v>
      </c>
      <c r="M456" s="52">
        <v>1</v>
      </c>
      <c r="N456" s="60" t="s">
        <v>674</v>
      </c>
    </row>
    <row r="457" spans="1:14" x14ac:dyDescent="0.25">
      <c r="A457" s="45">
        <v>1163</v>
      </c>
      <c r="B457" s="47" t="s">
        <v>675</v>
      </c>
      <c r="C457" s="59">
        <v>43599</v>
      </c>
      <c r="D457" s="48" t="str">
        <f t="shared" si="25"/>
        <v>M</v>
      </c>
      <c r="E457" s="62">
        <f t="shared" si="24"/>
        <v>20</v>
      </c>
      <c r="F457" s="45" t="s">
        <v>76</v>
      </c>
      <c r="G457" s="52">
        <v>14</v>
      </c>
      <c r="H457" s="52">
        <v>25</v>
      </c>
      <c r="I457" s="52">
        <v>50</v>
      </c>
      <c r="J457" s="52">
        <v>10</v>
      </c>
      <c r="K457" s="52">
        <v>17</v>
      </c>
      <c r="L457" s="52">
        <v>2</v>
      </c>
      <c r="M457" s="52">
        <v>10</v>
      </c>
      <c r="N457" s="60" t="s">
        <v>676</v>
      </c>
    </row>
    <row r="458" spans="1:14" x14ac:dyDescent="0.25">
      <c r="A458" s="45">
        <v>1164</v>
      </c>
      <c r="B458" s="47" t="s">
        <v>677</v>
      </c>
      <c r="C458" s="59">
        <v>43602</v>
      </c>
      <c r="D458" s="48" t="str">
        <f t="shared" si="25"/>
        <v>V</v>
      </c>
      <c r="E458" s="62">
        <f t="shared" si="24"/>
        <v>20</v>
      </c>
      <c r="F458" s="45" t="s">
        <v>76</v>
      </c>
      <c r="G458" s="52">
        <v>42</v>
      </c>
      <c r="H458" s="52">
        <v>16</v>
      </c>
      <c r="I458" s="52">
        <v>28</v>
      </c>
      <c r="J458" s="52">
        <v>43</v>
      </c>
      <c r="K458" s="52">
        <v>45</v>
      </c>
      <c r="L458" s="52">
        <v>6</v>
      </c>
      <c r="M458" s="52">
        <v>7</v>
      </c>
      <c r="N458" s="60" t="s">
        <v>678</v>
      </c>
    </row>
    <row r="459" spans="1:14" x14ac:dyDescent="0.25">
      <c r="A459" s="45">
        <v>1165</v>
      </c>
      <c r="B459" s="47" t="s">
        <v>679</v>
      </c>
      <c r="C459" s="59">
        <v>43606</v>
      </c>
      <c r="D459" s="48" t="str">
        <f t="shared" si="25"/>
        <v>M</v>
      </c>
      <c r="E459" s="62">
        <f t="shared" si="24"/>
        <v>21</v>
      </c>
      <c r="F459" s="45" t="s">
        <v>76</v>
      </c>
      <c r="G459" s="52">
        <v>47</v>
      </c>
      <c r="H459" s="52">
        <v>32</v>
      </c>
      <c r="I459" s="52">
        <v>34</v>
      </c>
      <c r="J459" s="52">
        <v>33</v>
      </c>
      <c r="K459" s="52">
        <v>39</v>
      </c>
      <c r="L459" s="52">
        <v>12</v>
      </c>
      <c r="M459" s="52">
        <v>8</v>
      </c>
      <c r="N459" s="60" t="s">
        <v>680</v>
      </c>
    </row>
    <row r="460" spans="1:14" x14ac:dyDescent="0.25">
      <c r="A460" s="45">
        <v>1166</v>
      </c>
      <c r="B460" s="47" t="s">
        <v>681</v>
      </c>
      <c r="C460" s="59">
        <v>43609</v>
      </c>
      <c r="D460" s="48" t="str">
        <f t="shared" si="25"/>
        <v>V</v>
      </c>
      <c r="E460" s="62">
        <f t="shared" si="24"/>
        <v>21</v>
      </c>
      <c r="F460" s="45" t="s">
        <v>76</v>
      </c>
      <c r="G460" s="52">
        <v>5</v>
      </c>
      <c r="H460" s="52">
        <v>30</v>
      </c>
      <c r="I460" s="52">
        <v>49</v>
      </c>
      <c r="J460" s="52">
        <v>23</v>
      </c>
      <c r="K460" s="52">
        <v>16</v>
      </c>
      <c r="L460" s="52">
        <v>7</v>
      </c>
      <c r="M460" s="52">
        <v>6</v>
      </c>
      <c r="N460" s="60" t="s">
        <v>682</v>
      </c>
    </row>
    <row r="461" spans="1:14" x14ac:dyDescent="0.25">
      <c r="A461" s="45">
        <v>1167</v>
      </c>
      <c r="B461" s="47" t="s">
        <v>683</v>
      </c>
      <c r="C461" s="59">
        <f t="shared" ref="C461:C524" si="26">+C459+7</f>
        <v>43613</v>
      </c>
      <c r="D461" s="49" t="str">
        <f t="shared" si="25"/>
        <v>M</v>
      </c>
      <c r="E461" s="63">
        <f t="shared" si="24"/>
        <v>22</v>
      </c>
      <c r="F461" s="45" t="s">
        <v>76</v>
      </c>
      <c r="G461" s="52">
        <v>28</v>
      </c>
      <c r="H461" s="52">
        <v>7</v>
      </c>
      <c r="I461" s="52">
        <v>29</v>
      </c>
      <c r="J461" s="52">
        <v>19</v>
      </c>
      <c r="K461" s="52">
        <v>20</v>
      </c>
      <c r="L461" s="52">
        <v>1</v>
      </c>
      <c r="M461" s="52">
        <v>5</v>
      </c>
      <c r="N461" s="60" t="s">
        <v>684</v>
      </c>
    </row>
    <row r="462" spans="1:14" x14ac:dyDescent="0.25">
      <c r="A462" s="45">
        <v>1168</v>
      </c>
      <c r="B462" s="47" t="s">
        <v>685</v>
      </c>
      <c r="C462" s="59">
        <f t="shared" si="26"/>
        <v>43616</v>
      </c>
      <c r="D462" s="49" t="str">
        <f t="shared" si="25"/>
        <v>V</v>
      </c>
      <c r="E462" s="63">
        <f t="shared" si="24"/>
        <v>22</v>
      </c>
      <c r="F462" s="45" t="s">
        <v>76</v>
      </c>
      <c r="G462" s="52">
        <v>1</v>
      </c>
      <c r="H462" s="52">
        <v>26</v>
      </c>
      <c r="I462" s="52">
        <v>23</v>
      </c>
      <c r="J462" s="52">
        <v>35</v>
      </c>
      <c r="K462" s="52">
        <v>24</v>
      </c>
      <c r="L462" s="52">
        <v>11</v>
      </c>
      <c r="M462" s="52">
        <v>1</v>
      </c>
      <c r="N462" s="60" t="s">
        <v>686</v>
      </c>
    </row>
    <row r="463" spans="1:14" x14ac:dyDescent="0.25">
      <c r="A463" s="45">
        <v>1169</v>
      </c>
      <c r="B463" s="47" t="s">
        <v>687</v>
      </c>
      <c r="C463" s="59">
        <f t="shared" si="26"/>
        <v>43620</v>
      </c>
      <c r="D463" s="49" t="str">
        <f t="shared" si="25"/>
        <v>M</v>
      </c>
      <c r="E463" s="63">
        <f t="shared" si="24"/>
        <v>23</v>
      </c>
      <c r="F463" s="45" t="s">
        <v>76</v>
      </c>
      <c r="G463" s="52">
        <v>31</v>
      </c>
      <c r="H463" s="52">
        <v>32</v>
      </c>
      <c r="I463" s="52">
        <v>9</v>
      </c>
      <c r="J463" s="52">
        <v>39</v>
      </c>
      <c r="K463" s="52">
        <v>41</v>
      </c>
      <c r="L463" s="52">
        <v>8</v>
      </c>
      <c r="M463" s="52">
        <v>2</v>
      </c>
      <c r="N463" s="60" t="s">
        <v>688</v>
      </c>
    </row>
    <row r="464" spans="1:14" x14ac:dyDescent="0.25">
      <c r="A464" s="45">
        <v>1170</v>
      </c>
      <c r="B464" s="47" t="s">
        <v>689</v>
      </c>
      <c r="C464" s="59">
        <f t="shared" si="26"/>
        <v>43623</v>
      </c>
      <c r="D464" s="49" t="str">
        <f t="shared" si="25"/>
        <v>V</v>
      </c>
      <c r="E464" s="63">
        <f t="shared" si="24"/>
        <v>23</v>
      </c>
      <c r="F464" s="45" t="s">
        <v>76</v>
      </c>
      <c r="G464" s="52">
        <v>34</v>
      </c>
      <c r="H464" s="52">
        <v>16</v>
      </c>
      <c r="I464" s="52">
        <v>4</v>
      </c>
      <c r="J464" s="52">
        <v>1</v>
      </c>
      <c r="K464" s="52">
        <v>20</v>
      </c>
      <c r="L464" s="52">
        <v>2</v>
      </c>
      <c r="M464" s="52">
        <v>5</v>
      </c>
      <c r="N464" s="60" t="s">
        <v>690</v>
      </c>
    </row>
    <row r="465" spans="1:14" x14ac:dyDescent="0.25">
      <c r="A465" s="45">
        <v>1171</v>
      </c>
      <c r="B465" s="47" t="s">
        <v>691</v>
      </c>
      <c r="C465" s="59">
        <f t="shared" si="26"/>
        <v>43627</v>
      </c>
      <c r="D465" s="49" t="str">
        <f t="shared" si="25"/>
        <v>M</v>
      </c>
      <c r="E465" s="63">
        <f t="shared" si="24"/>
        <v>24</v>
      </c>
      <c r="F465" s="45" t="s">
        <v>76</v>
      </c>
      <c r="G465" s="52">
        <v>27</v>
      </c>
      <c r="H465" s="52">
        <v>46</v>
      </c>
      <c r="I465" s="52">
        <v>42</v>
      </c>
      <c r="J465" s="52">
        <v>25</v>
      </c>
      <c r="K465" s="52">
        <v>39</v>
      </c>
      <c r="L465" s="52">
        <v>11</v>
      </c>
      <c r="M465" s="52">
        <v>12</v>
      </c>
      <c r="N465" s="60" t="s">
        <v>692</v>
      </c>
    </row>
    <row r="466" spans="1:14" x14ac:dyDescent="0.25">
      <c r="A466" s="45">
        <v>1172</v>
      </c>
      <c r="B466" s="47" t="s">
        <v>693</v>
      </c>
      <c r="C466" s="59">
        <f t="shared" si="26"/>
        <v>43630</v>
      </c>
      <c r="D466" s="49" t="str">
        <f t="shared" si="25"/>
        <v>V</v>
      </c>
      <c r="E466" s="63">
        <f t="shared" si="24"/>
        <v>24</v>
      </c>
      <c r="F466" s="45" t="s">
        <v>76</v>
      </c>
      <c r="G466" s="52">
        <v>30</v>
      </c>
      <c r="H466" s="52">
        <v>1</v>
      </c>
      <c r="I466" s="52">
        <v>39</v>
      </c>
      <c r="J466" s="52">
        <v>13</v>
      </c>
      <c r="K466" s="52">
        <v>31</v>
      </c>
      <c r="L466" s="52">
        <v>2</v>
      </c>
      <c r="M466" s="52">
        <v>7</v>
      </c>
      <c r="N466" s="60" t="s">
        <v>694</v>
      </c>
    </row>
    <row r="467" spans="1:14" x14ac:dyDescent="0.25">
      <c r="A467" s="45">
        <v>1173</v>
      </c>
      <c r="B467" s="47" t="s">
        <v>695</v>
      </c>
      <c r="C467" s="59">
        <f t="shared" si="26"/>
        <v>43634</v>
      </c>
      <c r="D467" s="48" t="str">
        <f t="shared" si="25"/>
        <v>M</v>
      </c>
      <c r="E467" s="62">
        <f t="shared" si="24"/>
        <v>25</v>
      </c>
      <c r="F467" s="45" t="s">
        <v>76</v>
      </c>
      <c r="G467" s="52">
        <v>44</v>
      </c>
      <c r="H467" s="52">
        <v>40</v>
      </c>
      <c r="I467" s="52">
        <v>12</v>
      </c>
      <c r="J467" s="52">
        <v>37</v>
      </c>
      <c r="K467" s="52">
        <v>24</v>
      </c>
      <c r="L467" s="52">
        <v>3</v>
      </c>
      <c r="M467" s="52">
        <v>7</v>
      </c>
      <c r="N467" s="60" t="s">
        <v>696</v>
      </c>
    </row>
    <row r="468" spans="1:14" x14ac:dyDescent="0.25">
      <c r="A468" s="45">
        <v>1174</v>
      </c>
      <c r="B468" s="47" t="s">
        <v>697</v>
      </c>
      <c r="C468" s="59">
        <f t="shared" si="26"/>
        <v>43637</v>
      </c>
      <c r="D468" s="48" t="str">
        <f t="shared" si="25"/>
        <v>V</v>
      </c>
      <c r="E468" s="62">
        <f t="shared" si="24"/>
        <v>25</v>
      </c>
      <c r="F468" s="45" t="s">
        <v>76</v>
      </c>
      <c r="G468" s="52">
        <v>9</v>
      </c>
      <c r="H468" s="52">
        <v>8</v>
      </c>
      <c r="I468" s="52">
        <v>39</v>
      </c>
      <c r="J468" s="52">
        <v>25</v>
      </c>
      <c r="K468" s="52">
        <v>5</v>
      </c>
      <c r="L468" s="52">
        <v>3</v>
      </c>
      <c r="M468" s="52">
        <v>7</v>
      </c>
      <c r="N468" s="60" t="s">
        <v>698</v>
      </c>
    </row>
    <row r="469" spans="1:14" x14ac:dyDescent="0.25">
      <c r="A469" s="45">
        <v>1175</v>
      </c>
      <c r="B469" s="47" t="s">
        <v>699</v>
      </c>
      <c r="C469" s="59">
        <f t="shared" si="26"/>
        <v>43641</v>
      </c>
      <c r="D469" s="48" t="str">
        <f t="shared" si="25"/>
        <v>M</v>
      </c>
      <c r="E469" s="62">
        <f t="shared" si="24"/>
        <v>26</v>
      </c>
      <c r="F469" s="45" t="s">
        <v>76</v>
      </c>
      <c r="G469" s="52">
        <v>27</v>
      </c>
      <c r="H469" s="52">
        <v>34</v>
      </c>
      <c r="I469" s="52">
        <v>6</v>
      </c>
      <c r="J469" s="52">
        <v>26</v>
      </c>
      <c r="K469" s="52">
        <v>46</v>
      </c>
      <c r="L469" s="52">
        <v>1</v>
      </c>
      <c r="M469" s="52">
        <v>9</v>
      </c>
      <c r="N469" s="60" t="s">
        <v>700</v>
      </c>
    </row>
    <row r="470" spans="1:14" x14ac:dyDescent="0.25">
      <c r="A470" s="45">
        <v>1176</v>
      </c>
      <c r="B470" s="47" t="s">
        <v>701</v>
      </c>
      <c r="C470" s="59">
        <f t="shared" si="26"/>
        <v>43644</v>
      </c>
      <c r="D470" s="48" t="str">
        <f t="shared" si="25"/>
        <v>V</v>
      </c>
      <c r="E470" s="62">
        <f t="shared" si="24"/>
        <v>26</v>
      </c>
      <c r="F470" s="45" t="s">
        <v>76</v>
      </c>
      <c r="G470" s="52">
        <v>1</v>
      </c>
      <c r="H470" s="52">
        <v>33</v>
      </c>
      <c r="I470" s="52">
        <v>3</v>
      </c>
      <c r="J470" s="52">
        <v>49</v>
      </c>
      <c r="K470" s="52">
        <v>16</v>
      </c>
      <c r="L470" s="52">
        <v>2</v>
      </c>
      <c r="M470" s="52">
        <v>11</v>
      </c>
      <c r="N470" s="60" t="s">
        <v>702</v>
      </c>
    </row>
    <row r="471" spans="1:14" x14ac:dyDescent="0.25">
      <c r="A471" s="45">
        <v>1177</v>
      </c>
      <c r="B471" s="47" t="s">
        <v>703</v>
      </c>
      <c r="C471" s="59">
        <f t="shared" si="26"/>
        <v>43648</v>
      </c>
      <c r="D471" s="48" t="str">
        <f t="shared" si="25"/>
        <v>M</v>
      </c>
      <c r="E471" s="62">
        <f t="shared" si="24"/>
        <v>27</v>
      </c>
      <c r="F471" s="45" t="s">
        <v>76</v>
      </c>
      <c r="G471" s="52">
        <v>19</v>
      </c>
      <c r="H471" s="52">
        <v>44</v>
      </c>
      <c r="I471" s="52">
        <v>11</v>
      </c>
      <c r="J471" s="52">
        <v>29</v>
      </c>
      <c r="K471" s="52">
        <v>45</v>
      </c>
      <c r="L471" s="52">
        <v>12</v>
      </c>
      <c r="M471" s="52">
        <v>8</v>
      </c>
      <c r="N471" s="60" t="s">
        <v>704</v>
      </c>
    </row>
    <row r="472" spans="1:14" x14ac:dyDescent="0.25">
      <c r="A472" s="45">
        <v>1178</v>
      </c>
      <c r="B472" s="47" t="s">
        <v>705</v>
      </c>
      <c r="C472" s="59">
        <f t="shared" si="26"/>
        <v>43651</v>
      </c>
      <c r="D472" s="48" t="str">
        <f t="shared" si="25"/>
        <v>V</v>
      </c>
      <c r="E472" s="62">
        <f t="shared" si="24"/>
        <v>27</v>
      </c>
      <c r="F472" s="45" t="s">
        <v>76</v>
      </c>
      <c r="G472" s="52">
        <v>20</v>
      </c>
      <c r="H472" s="52">
        <v>2</v>
      </c>
      <c r="I472" s="52">
        <v>42</v>
      </c>
      <c r="J472" s="52">
        <v>34</v>
      </c>
      <c r="K472" s="52">
        <v>9</v>
      </c>
      <c r="L472" s="52">
        <v>9</v>
      </c>
      <c r="M472" s="52">
        <v>6</v>
      </c>
      <c r="N472" s="60" t="s">
        <v>706</v>
      </c>
    </row>
    <row r="473" spans="1:14" x14ac:dyDescent="0.25">
      <c r="A473" s="45">
        <v>1179</v>
      </c>
      <c r="B473" s="47" t="s">
        <v>707</v>
      </c>
      <c r="C473" s="59">
        <f t="shared" si="26"/>
        <v>43655</v>
      </c>
      <c r="D473" s="48" t="str">
        <f t="shared" si="25"/>
        <v>M</v>
      </c>
      <c r="E473" s="62">
        <f t="shared" si="24"/>
        <v>28</v>
      </c>
      <c r="F473" s="45" t="s">
        <v>76</v>
      </c>
      <c r="G473" s="52">
        <v>32</v>
      </c>
      <c r="H473" s="52">
        <v>7</v>
      </c>
      <c r="I473" s="52">
        <v>41</v>
      </c>
      <c r="J473" s="52">
        <v>36</v>
      </c>
      <c r="K473" s="52">
        <v>29</v>
      </c>
      <c r="L473" s="52">
        <v>7</v>
      </c>
      <c r="M473" s="52">
        <v>6</v>
      </c>
      <c r="N473" s="60" t="s">
        <v>708</v>
      </c>
    </row>
    <row r="474" spans="1:14" x14ac:dyDescent="0.25">
      <c r="A474" s="45">
        <v>1180</v>
      </c>
      <c r="B474" s="47" t="s">
        <v>709</v>
      </c>
      <c r="C474" s="59">
        <f t="shared" si="26"/>
        <v>43658</v>
      </c>
      <c r="D474" s="48" t="str">
        <f t="shared" si="25"/>
        <v>V</v>
      </c>
      <c r="E474" s="62">
        <f t="shared" si="24"/>
        <v>28</v>
      </c>
      <c r="F474" s="45" t="s">
        <v>76</v>
      </c>
      <c r="G474" s="52">
        <v>2</v>
      </c>
      <c r="H474" s="52">
        <v>31</v>
      </c>
      <c r="I474" s="52">
        <v>39</v>
      </c>
      <c r="J474" s="52">
        <v>45</v>
      </c>
      <c r="K474" s="52">
        <v>47</v>
      </c>
      <c r="L474" s="52">
        <v>8</v>
      </c>
      <c r="M474" s="52">
        <v>4</v>
      </c>
      <c r="N474" s="60" t="s">
        <v>710</v>
      </c>
    </row>
    <row r="475" spans="1:14" x14ac:dyDescent="0.25">
      <c r="A475" s="45">
        <v>1181</v>
      </c>
      <c r="B475" s="47" t="s">
        <v>711</v>
      </c>
      <c r="C475" s="59">
        <f t="shared" si="26"/>
        <v>43662</v>
      </c>
      <c r="D475" s="48" t="str">
        <f t="shared" si="25"/>
        <v>M</v>
      </c>
      <c r="E475" s="62">
        <f t="shared" si="24"/>
        <v>29</v>
      </c>
      <c r="F475" s="45" t="s">
        <v>76</v>
      </c>
      <c r="G475" s="52">
        <v>5</v>
      </c>
      <c r="H475" s="52">
        <v>13</v>
      </c>
      <c r="I475" s="52">
        <v>18</v>
      </c>
      <c r="J475" s="52">
        <v>39</v>
      </c>
      <c r="K475" s="52">
        <v>3</v>
      </c>
      <c r="L475" s="52">
        <v>8</v>
      </c>
      <c r="M475" s="52">
        <v>7</v>
      </c>
      <c r="N475" s="60" t="s">
        <v>712</v>
      </c>
    </row>
    <row r="476" spans="1:14" x14ac:dyDescent="0.25">
      <c r="A476" s="45">
        <v>1182</v>
      </c>
      <c r="B476" s="47" t="s">
        <v>713</v>
      </c>
      <c r="C476" s="59">
        <f t="shared" si="26"/>
        <v>43665</v>
      </c>
      <c r="D476" s="48" t="str">
        <f t="shared" si="25"/>
        <v>V</v>
      </c>
      <c r="E476" s="62">
        <f t="shared" si="24"/>
        <v>29</v>
      </c>
      <c r="F476" s="45" t="s">
        <v>76</v>
      </c>
      <c r="G476" s="52">
        <v>26</v>
      </c>
      <c r="H476" s="52">
        <v>17</v>
      </c>
      <c r="I476" s="52">
        <v>13</v>
      </c>
      <c r="J476" s="52">
        <v>14</v>
      </c>
      <c r="K476" s="52">
        <v>28</v>
      </c>
      <c r="L476" s="52">
        <v>7</v>
      </c>
      <c r="M476" s="52">
        <v>2</v>
      </c>
      <c r="N476" s="60" t="s">
        <v>714</v>
      </c>
    </row>
    <row r="477" spans="1:14" x14ac:dyDescent="0.25">
      <c r="A477" s="45">
        <v>1183</v>
      </c>
      <c r="B477" s="47" t="s">
        <v>715</v>
      </c>
      <c r="C477" s="59">
        <f t="shared" si="26"/>
        <v>43669</v>
      </c>
      <c r="D477" s="48" t="str">
        <f t="shared" si="25"/>
        <v>M</v>
      </c>
      <c r="E477" s="62">
        <f t="shared" si="24"/>
        <v>30</v>
      </c>
      <c r="F477" s="45" t="s">
        <v>76</v>
      </c>
      <c r="G477" s="52">
        <v>38</v>
      </c>
      <c r="H477" s="52">
        <v>19</v>
      </c>
      <c r="I477" s="52">
        <v>23</v>
      </c>
      <c r="J477" s="52">
        <v>1</v>
      </c>
      <c r="K477" s="52">
        <v>14</v>
      </c>
      <c r="L477" s="52">
        <v>7</v>
      </c>
      <c r="M477" s="52">
        <v>3</v>
      </c>
      <c r="N477" s="60" t="s">
        <v>716</v>
      </c>
    </row>
    <row r="478" spans="1:14" x14ac:dyDescent="0.25">
      <c r="A478" s="45">
        <v>1184</v>
      </c>
      <c r="B478" s="47" t="s">
        <v>717</v>
      </c>
      <c r="C478" s="59">
        <f t="shared" si="26"/>
        <v>43672</v>
      </c>
      <c r="D478" s="48" t="str">
        <f t="shared" si="25"/>
        <v>V</v>
      </c>
      <c r="E478" s="62">
        <f t="shared" si="24"/>
        <v>30</v>
      </c>
      <c r="F478" s="45" t="s">
        <v>76</v>
      </c>
      <c r="G478" s="52">
        <v>27</v>
      </c>
      <c r="H478" s="52">
        <v>2</v>
      </c>
      <c r="I478" s="52">
        <v>42</v>
      </c>
      <c r="J478" s="52">
        <v>5</v>
      </c>
      <c r="K478" s="52">
        <v>37</v>
      </c>
      <c r="L478" s="52">
        <v>10</v>
      </c>
      <c r="M478" s="52">
        <v>3</v>
      </c>
      <c r="N478" s="60" t="s">
        <v>718</v>
      </c>
    </row>
    <row r="479" spans="1:14" x14ac:dyDescent="0.25">
      <c r="A479" s="45">
        <v>1185</v>
      </c>
      <c r="B479" s="47" t="s">
        <v>719</v>
      </c>
      <c r="C479" s="59">
        <f t="shared" si="26"/>
        <v>43676</v>
      </c>
      <c r="D479" s="48" t="str">
        <f t="shared" si="25"/>
        <v>M</v>
      </c>
      <c r="E479" s="62">
        <f t="shared" si="24"/>
        <v>31</v>
      </c>
      <c r="F479" s="45" t="s">
        <v>76</v>
      </c>
      <c r="G479" s="52">
        <v>15</v>
      </c>
      <c r="H479" s="52">
        <v>27</v>
      </c>
      <c r="I479" s="52">
        <v>23</v>
      </c>
      <c r="J479" s="52">
        <v>40</v>
      </c>
      <c r="K479" s="52">
        <v>20</v>
      </c>
      <c r="L479" s="52">
        <v>3</v>
      </c>
      <c r="M479" s="52">
        <v>6</v>
      </c>
      <c r="N479" s="60" t="s">
        <v>720</v>
      </c>
    </row>
    <row r="480" spans="1:14" x14ac:dyDescent="0.25">
      <c r="A480" s="45">
        <v>1186</v>
      </c>
      <c r="B480" s="47" t="s">
        <v>721</v>
      </c>
      <c r="C480" s="59">
        <f t="shared" si="26"/>
        <v>43679</v>
      </c>
      <c r="D480" s="48" t="str">
        <f t="shared" si="25"/>
        <v>V</v>
      </c>
      <c r="E480" s="62">
        <f t="shared" si="24"/>
        <v>31</v>
      </c>
      <c r="F480" s="45" t="s">
        <v>76</v>
      </c>
      <c r="G480" s="52">
        <v>33</v>
      </c>
      <c r="H480" s="52">
        <v>44</v>
      </c>
      <c r="I480" s="52">
        <v>13</v>
      </c>
      <c r="J480" s="52">
        <v>22</v>
      </c>
      <c r="K480" s="52">
        <v>50</v>
      </c>
      <c r="L480" s="52">
        <v>5</v>
      </c>
      <c r="M480" s="52">
        <v>2</v>
      </c>
      <c r="N480" s="60" t="s">
        <v>722</v>
      </c>
    </row>
    <row r="481" spans="1:14" x14ac:dyDescent="0.25">
      <c r="A481" s="45">
        <v>1187</v>
      </c>
      <c r="B481" s="47" t="s">
        <v>723</v>
      </c>
      <c r="C481" s="59">
        <f t="shared" si="26"/>
        <v>43683</v>
      </c>
      <c r="D481" s="48" t="str">
        <f t="shared" si="25"/>
        <v>M</v>
      </c>
      <c r="E481" s="62">
        <f t="shared" si="24"/>
        <v>32</v>
      </c>
      <c r="F481" s="45" t="s">
        <v>76</v>
      </c>
      <c r="G481" s="52">
        <v>38</v>
      </c>
      <c r="H481" s="52">
        <v>12</v>
      </c>
      <c r="I481" s="52">
        <v>29</v>
      </c>
      <c r="J481" s="52">
        <v>36</v>
      </c>
      <c r="K481" s="52">
        <v>13</v>
      </c>
      <c r="L481" s="52">
        <v>4</v>
      </c>
      <c r="M481" s="52">
        <v>12</v>
      </c>
      <c r="N481" s="60" t="s">
        <v>724</v>
      </c>
    </row>
    <row r="482" spans="1:14" x14ac:dyDescent="0.25">
      <c r="A482" s="45">
        <v>1188</v>
      </c>
      <c r="B482" s="47" t="s">
        <v>725</v>
      </c>
      <c r="C482" s="59">
        <f t="shared" si="26"/>
        <v>43686</v>
      </c>
      <c r="D482" s="48" t="str">
        <f t="shared" si="25"/>
        <v>V</v>
      </c>
      <c r="E482" s="62">
        <f t="shared" si="24"/>
        <v>32</v>
      </c>
      <c r="F482" s="45" t="s">
        <v>76</v>
      </c>
      <c r="G482" s="52">
        <v>35</v>
      </c>
      <c r="H482" s="52">
        <v>41</v>
      </c>
      <c r="I482" s="52">
        <v>14</v>
      </c>
      <c r="J482" s="52">
        <v>2</v>
      </c>
      <c r="K482" s="52">
        <v>42</v>
      </c>
      <c r="L482" s="52">
        <v>11</v>
      </c>
      <c r="M482" s="52">
        <v>10</v>
      </c>
      <c r="N482" s="60" t="s">
        <v>726</v>
      </c>
    </row>
    <row r="483" spans="1:14" x14ac:dyDescent="0.25">
      <c r="A483" s="45">
        <v>1189</v>
      </c>
      <c r="B483" s="47" t="s">
        <v>727</v>
      </c>
      <c r="C483" s="59">
        <f t="shared" si="26"/>
        <v>43690</v>
      </c>
      <c r="D483" s="48" t="str">
        <f t="shared" si="25"/>
        <v>M</v>
      </c>
      <c r="E483" s="62">
        <f t="shared" si="24"/>
        <v>33</v>
      </c>
      <c r="F483" s="45" t="s">
        <v>76</v>
      </c>
      <c r="G483" s="52">
        <v>31</v>
      </c>
      <c r="H483" s="52">
        <v>13</v>
      </c>
      <c r="I483" s="52">
        <v>33</v>
      </c>
      <c r="J483" s="52">
        <v>29</v>
      </c>
      <c r="K483" s="52">
        <v>40</v>
      </c>
      <c r="L483" s="52">
        <v>2</v>
      </c>
      <c r="M483" s="52">
        <v>3</v>
      </c>
      <c r="N483" s="60" t="s">
        <v>728</v>
      </c>
    </row>
    <row r="484" spans="1:14" x14ac:dyDescent="0.25">
      <c r="A484" s="45">
        <v>1190</v>
      </c>
      <c r="B484" s="47" t="s">
        <v>729</v>
      </c>
      <c r="C484" s="59">
        <f t="shared" si="26"/>
        <v>43693</v>
      </c>
      <c r="D484" s="48" t="str">
        <f t="shared" si="25"/>
        <v>V</v>
      </c>
      <c r="E484" s="62">
        <f t="shared" si="24"/>
        <v>33</v>
      </c>
      <c r="F484" s="45" t="s">
        <v>76</v>
      </c>
      <c r="G484" s="52">
        <v>9</v>
      </c>
      <c r="H484" s="52">
        <v>42</v>
      </c>
      <c r="I484" s="52">
        <v>10</v>
      </c>
      <c r="J484" s="52">
        <v>27</v>
      </c>
      <c r="K484" s="52">
        <v>37</v>
      </c>
      <c r="L484" s="52">
        <v>1</v>
      </c>
      <c r="M484" s="52">
        <v>5</v>
      </c>
      <c r="N484" s="60" t="s">
        <v>730</v>
      </c>
    </row>
    <row r="485" spans="1:14" x14ac:dyDescent="0.25">
      <c r="A485" s="45">
        <v>1191</v>
      </c>
      <c r="B485" s="47" t="s">
        <v>731</v>
      </c>
      <c r="C485" s="59">
        <f t="shared" si="26"/>
        <v>43697</v>
      </c>
      <c r="D485" s="48" t="str">
        <f t="shared" si="25"/>
        <v>M</v>
      </c>
      <c r="E485" s="62">
        <f t="shared" si="24"/>
        <v>34</v>
      </c>
      <c r="F485" s="45" t="s">
        <v>76</v>
      </c>
      <c r="G485" s="52">
        <v>23</v>
      </c>
      <c r="H485" s="52">
        <v>24</v>
      </c>
      <c r="I485" s="52">
        <v>22</v>
      </c>
      <c r="J485" s="52">
        <v>20</v>
      </c>
      <c r="K485" s="52">
        <v>37</v>
      </c>
      <c r="L485" s="52">
        <v>1</v>
      </c>
      <c r="M485" s="52">
        <v>4</v>
      </c>
      <c r="N485" s="60" t="s">
        <v>732</v>
      </c>
    </row>
    <row r="486" spans="1:14" x14ac:dyDescent="0.25">
      <c r="A486" s="45">
        <v>1192</v>
      </c>
      <c r="B486" s="47" t="s">
        <v>733</v>
      </c>
      <c r="C486" s="59">
        <f t="shared" si="26"/>
        <v>43700</v>
      </c>
      <c r="D486" s="48" t="str">
        <f t="shared" si="25"/>
        <v>V</v>
      </c>
      <c r="E486" s="62">
        <f t="shared" si="24"/>
        <v>34</v>
      </c>
      <c r="F486" s="45" t="s">
        <v>76</v>
      </c>
      <c r="G486" s="52">
        <v>4</v>
      </c>
      <c r="H486" s="52">
        <v>17</v>
      </c>
      <c r="I486" s="52">
        <v>42</v>
      </c>
      <c r="J486" s="52">
        <v>45</v>
      </c>
      <c r="K486" s="52">
        <v>35</v>
      </c>
      <c r="L486" s="52">
        <v>8</v>
      </c>
      <c r="M486" s="52">
        <v>2</v>
      </c>
      <c r="N486" s="60" t="s">
        <v>734</v>
      </c>
    </row>
    <row r="487" spans="1:14" x14ac:dyDescent="0.25">
      <c r="A487" s="45">
        <v>1193</v>
      </c>
      <c r="B487" s="47" t="s">
        <v>735</v>
      </c>
      <c r="C487" s="59">
        <f t="shared" si="26"/>
        <v>43704</v>
      </c>
      <c r="D487" s="48" t="str">
        <f t="shared" si="25"/>
        <v>M</v>
      </c>
      <c r="E487" s="62">
        <f t="shared" si="24"/>
        <v>35</v>
      </c>
      <c r="F487" s="45" t="s">
        <v>76</v>
      </c>
      <c r="G487" s="52">
        <v>26</v>
      </c>
      <c r="H487" s="52">
        <v>8</v>
      </c>
      <c r="I487" s="52">
        <v>35</v>
      </c>
      <c r="J487" s="52">
        <v>47</v>
      </c>
      <c r="K487" s="52">
        <v>43</v>
      </c>
      <c r="L487" s="52">
        <v>9</v>
      </c>
      <c r="M487" s="52">
        <v>1</v>
      </c>
      <c r="N487" s="60" t="s">
        <v>736</v>
      </c>
    </row>
    <row r="488" spans="1:14" x14ac:dyDescent="0.25">
      <c r="A488" s="45">
        <v>1194</v>
      </c>
      <c r="B488" s="47" t="s">
        <v>737</v>
      </c>
      <c r="C488" s="59">
        <f t="shared" si="26"/>
        <v>43707</v>
      </c>
      <c r="D488" s="48" t="str">
        <f t="shared" si="25"/>
        <v>V</v>
      </c>
      <c r="E488" s="62">
        <f t="shared" si="24"/>
        <v>35</v>
      </c>
      <c r="F488" s="45" t="s">
        <v>76</v>
      </c>
      <c r="G488" s="52">
        <v>45</v>
      </c>
      <c r="H488" s="52">
        <v>49</v>
      </c>
      <c r="I488" s="52">
        <v>27</v>
      </c>
      <c r="J488" s="52">
        <v>46</v>
      </c>
      <c r="K488" s="52">
        <v>25</v>
      </c>
      <c r="L488" s="52">
        <v>6</v>
      </c>
      <c r="M488" s="52">
        <v>4</v>
      </c>
      <c r="N488" s="60" t="s">
        <v>738</v>
      </c>
    </row>
    <row r="489" spans="1:14" x14ac:dyDescent="0.25">
      <c r="A489" s="45">
        <v>1195</v>
      </c>
      <c r="B489" s="47" t="s">
        <v>739</v>
      </c>
      <c r="C489" s="59">
        <f t="shared" si="26"/>
        <v>43711</v>
      </c>
      <c r="D489" s="48" t="str">
        <f t="shared" si="25"/>
        <v>M</v>
      </c>
      <c r="E489" s="62">
        <f t="shared" si="24"/>
        <v>36</v>
      </c>
      <c r="F489" s="45" t="s">
        <v>76</v>
      </c>
      <c r="G489" s="53">
        <v>44</v>
      </c>
      <c r="H489" s="53">
        <v>11</v>
      </c>
      <c r="I489" s="53">
        <v>38</v>
      </c>
      <c r="J489" s="53">
        <v>7</v>
      </c>
      <c r="K489" s="53">
        <v>39</v>
      </c>
      <c r="L489" s="53">
        <v>10</v>
      </c>
      <c r="M489" s="53">
        <v>7</v>
      </c>
      <c r="N489" s="60" t="s">
        <v>740</v>
      </c>
    </row>
    <row r="490" spans="1:14" x14ac:dyDescent="0.25">
      <c r="A490" s="45">
        <v>1196</v>
      </c>
      <c r="B490" s="47" t="s">
        <v>741</v>
      </c>
      <c r="C490" s="59">
        <f t="shared" si="26"/>
        <v>43714</v>
      </c>
      <c r="D490" s="48" t="str">
        <f t="shared" si="25"/>
        <v>V</v>
      </c>
      <c r="E490" s="62">
        <f t="shared" si="24"/>
        <v>36</v>
      </c>
      <c r="F490" s="45" t="s">
        <v>76</v>
      </c>
      <c r="G490" s="53">
        <v>13</v>
      </c>
      <c r="H490" s="53">
        <v>22</v>
      </c>
      <c r="I490" s="53">
        <v>40</v>
      </c>
      <c r="J490" s="53">
        <v>10</v>
      </c>
      <c r="K490" s="53">
        <v>48</v>
      </c>
      <c r="L490" s="53">
        <v>5</v>
      </c>
      <c r="M490" s="53">
        <v>2</v>
      </c>
      <c r="N490" s="60" t="s">
        <v>742</v>
      </c>
    </row>
    <row r="491" spans="1:14" x14ac:dyDescent="0.25">
      <c r="A491" s="45">
        <v>1197</v>
      </c>
      <c r="B491" s="47" t="s">
        <v>743</v>
      </c>
      <c r="C491" s="59">
        <f t="shared" si="26"/>
        <v>43718</v>
      </c>
      <c r="D491" s="48" t="str">
        <f t="shared" si="25"/>
        <v>M</v>
      </c>
      <c r="E491" s="62">
        <f t="shared" ref="E491:E498" si="27">WEEKNUM(C491,21)</f>
        <v>37</v>
      </c>
      <c r="F491" s="45" t="s">
        <v>76</v>
      </c>
      <c r="G491" s="53">
        <v>3</v>
      </c>
      <c r="H491" s="53">
        <v>30</v>
      </c>
      <c r="I491" s="53">
        <v>49</v>
      </c>
      <c r="J491" s="53">
        <v>25</v>
      </c>
      <c r="K491" s="53">
        <v>22</v>
      </c>
      <c r="L491" s="53">
        <v>3</v>
      </c>
      <c r="M491" s="53">
        <v>6</v>
      </c>
      <c r="N491" s="60" t="s">
        <v>744</v>
      </c>
    </row>
    <row r="492" spans="1:14" x14ac:dyDescent="0.25">
      <c r="A492" s="45">
        <v>1198</v>
      </c>
      <c r="B492" s="47" t="s">
        <v>745</v>
      </c>
      <c r="C492" s="59">
        <f t="shared" si="26"/>
        <v>43721</v>
      </c>
      <c r="D492" s="48" t="str">
        <f t="shared" si="25"/>
        <v>V</v>
      </c>
      <c r="E492" s="62">
        <f t="shared" si="27"/>
        <v>37</v>
      </c>
      <c r="F492" s="45" t="s">
        <v>76</v>
      </c>
      <c r="G492" s="53">
        <v>12</v>
      </c>
      <c r="H492" s="53">
        <v>1</v>
      </c>
      <c r="I492" s="53">
        <v>42</v>
      </c>
      <c r="J492" s="53">
        <v>47</v>
      </c>
      <c r="K492" s="53">
        <v>27</v>
      </c>
      <c r="L492" s="53">
        <v>6</v>
      </c>
      <c r="M492" s="53">
        <v>7</v>
      </c>
      <c r="N492" s="60" t="s">
        <v>746</v>
      </c>
    </row>
    <row r="493" spans="1:14" x14ac:dyDescent="0.25">
      <c r="A493" s="45">
        <v>1199</v>
      </c>
      <c r="B493" s="47" t="s">
        <v>747</v>
      </c>
      <c r="C493" s="59">
        <f t="shared" si="26"/>
        <v>43725</v>
      </c>
      <c r="D493" s="48" t="str">
        <f t="shared" si="25"/>
        <v>M</v>
      </c>
      <c r="E493" s="62">
        <f t="shared" si="27"/>
        <v>38</v>
      </c>
      <c r="F493" s="45" t="s">
        <v>76</v>
      </c>
      <c r="G493" s="53">
        <v>22</v>
      </c>
      <c r="H493" s="53">
        <v>45</v>
      </c>
      <c r="I493" s="53">
        <v>43</v>
      </c>
      <c r="J493" s="53">
        <v>44</v>
      </c>
      <c r="K493" s="53">
        <v>37</v>
      </c>
      <c r="L493" s="53">
        <v>1</v>
      </c>
      <c r="M493" s="53">
        <v>12</v>
      </c>
      <c r="N493" s="60" t="s">
        <v>748</v>
      </c>
    </row>
    <row r="494" spans="1:14" x14ac:dyDescent="0.25">
      <c r="A494" s="45">
        <v>1200</v>
      </c>
      <c r="B494" s="47" t="s">
        <v>749</v>
      </c>
      <c r="C494" s="59">
        <f t="shared" si="26"/>
        <v>43728</v>
      </c>
      <c r="D494" s="48" t="str">
        <f t="shared" si="25"/>
        <v>V</v>
      </c>
      <c r="E494" s="62">
        <f t="shared" si="27"/>
        <v>38</v>
      </c>
      <c r="F494" s="45" t="s">
        <v>76</v>
      </c>
      <c r="G494" s="53">
        <v>25</v>
      </c>
      <c r="H494" s="53">
        <v>50</v>
      </c>
      <c r="I494" s="53">
        <v>21</v>
      </c>
      <c r="J494" s="53">
        <v>38</v>
      </c>
      <c r="K494" s="53">
        <v>8</v>
      </c>
      <c r="L494" s="53">
        <v>4</v>
      </c>
      <c r="M494" s="53">
        <v>8</v>
      </c>
      <c r="N494" s="60" t="s">
        <v>750</v>
      </c>
    </row>
    <row r="495" spans="1:14" x14ac:dyDescent="0.25">
      <c r="A495" s="45">
        <v>1201</v>
      </c>
      <c r="B495" s="47" t="s">
        <v>751</v>
      </c>
      <c r="C495" s="59">
        <f t="shared" si="26"/>
        <v>43732</v>
      </c>
      <c r="D495" s="48" t="str">
        <f t="shared" si="25"/>
        <v>M</v>
      </c>
      <c r="E495" s="62">
        <f t="shared" si="27"/>
        <v>39</v>
      </c>
      <c r="F495" s="45" t="s">
        <v>76</v>
      </c>
      <c r="G495" s="53">
        <v>2</v>
      </c>
      <c r="H495" s="53">
        <v>48</v>
      </c>
      <c r="I495" s="53">
        <v>33</v>
      </c>
      <c r="J495" s="53">
        <v>47</v>
      </c>
      <c r="K495" s="53">
        <v>42</v>
      </c>
      <c r="L495" s="53">
        <v>1</v>
      </c>
      <c r="M495" s="53">
        <v>2</v>
      </c>
      <c r="N495" s="60" t="s">
        <v>752</v>
      </c>
    </row>
    <row r="496" spans="1:14" x14ac:dyDescent="0.25">
      <c r="A496" s="45">
        <v>1202</v>
      </c>
      <c r="B496" s="47" t="s">
        <v>753</v>
      </c>
      <c r="C496" s="59">
        <f t="shared" si="26"/>
        <v>43735</v>
      </c>
      <c r="D496" s="48" t="str">
        <f t="shared" si="25"/>
        <v>V</v>
      </c>
      <c r="E496" s="62">
        <f t="shared" si="27"/>
        <v>39</v>
      </c>
      <c r="F496" s="45" t="s">
        <v>76</v>
      </c>
      <c r="G496" s="53">
        <v>46</v>
      </c>
      <c r="H496" s="53">
        <v>43</v>
      </c>
      <c r="I496" s="53">
        <v>41</v>
      </c>
      <c r="J496" s="53">
        <v>37</v>
      </c>
      <c r="K496" s="53">
        <v>24</v>
      </c>
      <c r="L496" s="53">
        <v>8</v>
      </c>
      <c r="M496" s="53">
        <v>2</v>
      </c>
      <c r="N496" s="60" t="s">
        <v>754</v>
      </c>
    </row>
    <row r="497" spans="1:14" x14ac:dyDescent="0.25">
      <c r="A497" s="45">
        <v>1203</v>
      </c>
      <c r="B497" s="47" t="s">
        <v>755</v>
      </c>
      <c r="C497" s="59">
        <f t="shared" si="26"/>
        <v>43739</v>
      </c>
      <c r="D497" s="48" t="str">
        <f t="shared" si="25"/>
        <v>M</v>
      </c>
      <c r="E497" s="62">
        <f t="shared" si="27"/>
        <v>40</v>
      </c>
      <c r="F497" s="45" t="s">
        <v>76</v>
      </c>
      <c r="G497" s="53">
        <v>40</v>
      </c>
      <c r="H497" s="53">
        <v>18</v>
      </c>
      <c r="I497" s="53">
        <v>11</v>
      </c>
      <c r="J497" s="53">
        <v>2</v>
      </c>
      <c r="K497" s="53">
        <v>46</v>
      </c>
      <c r="L497" s="53">
        <v>4</v>
      </c>
      <c r="M497" s="53">
        <v>1</v>
      </c>
      <c r="N497" s="60" t="s">
        <v>756</v>
      </c>
    </row>
    <row r="498" spans="1:14" x14ac:dyDescent="0.25">
      <c r="A498" s="45">
        <v>1204</v>
      </c>
      <c r="B498" s="47" t="s">
        <v>757</v>
      </c>
      <c r="C498" s="59">
        <f t="shared" si="26"/>
        <v>43742</v>
      </c>
      <c r="D498" s="48" t="str">
        <f t="shared" si="25"/>
        <v>V</v>
      </c>
      <c r="E498" s="62">
        <f t="shared" si="27"/>
        <v>40</v>
      </c>
      <c r="F498" s="45" t="s">
        <v>76</v>
      </c>
      <c r="G498" s="53">
        <v>44</v>
      </c>
      <c r="H498" s="53">
        <v>41</v>
      </c>
      <c r="I498" s="53">
        <v>35</v>
      </c>
      <c r="J498" s="53">
        <v>9</v>
      </c>
      <c r="K498" s="53">
        <v>6</v>
      </c>
      <c r="L498" s="53">
        <v>9</v>
      </c>
      <c r="M498" s="53">
        <v>6</v>
      </c>
      <c r="N498" s="60" t="s">
        <v>758</v>
      </c>
    </row>
    <row r="499" spans="1:14" x14ac:dyDescent="0.25">
      <c r="A499" s="45">
        <v>1205</v>
      </c>
      <c r="B499" s="50" t="s">
        <v>759</v>
      </c>
      <c r="C499" s="59">
        <f t="shared" si="26"/>
        <v>43746</v>
      </c>
      <c r="D499" s="49" t="str">
        <f t="shared" si="25"/>
        <v>M</v>
      </c>
      <c r="E499" s="63">
        <f>WEEKNUM(C499,21)</f>
        <v>41</v>
      </c>
      <c r="F499" s="45" t="s">
        <v>76</v>
      </c>
      <c r="G499" s="53">
        <v>44</v>
      </c>
      <c r="H499" s="53">
        <v>15</v>
      </c>
      <c r="I499" s="53">
        <v>49</v>
      </c>
      <c r="J499" s="53">
        <v>10</v>
      </c>
      <c r="K499" s="53">
        <v>7</v>
      </c>
      <c r="L499" s="53">
        <v>3</v>
      </c>
      <c r="M499" s="53">
        <v>12</v>
      </c>
      <c r="N499" s="60" t="s">
        <v>760</v>
      </c>
    </row>
    <row r="500" spans="1:14" x14ac:dyDescent="0.25">
      <c r="A500" s="45">
        <v>1206</v>
      </c>
      <c r="B500" s="50" t="s">
        <v>761</v>
      </c>
      <c r="C500" s="59">
        <f t="shared" si="26"/>
        <v>43749</v>
      </c>
      <c r="D500" s="49" t="str">
        <f t="shared" si="25"/>
        <v>V</v>
      </c>
      <c r="E500" s="63">
        <f>WEEKNUM(C500,21)</f>
        <v>41</v>
      </c>
      <c r="F500" s="45" t="s">
        <v>76</v>
      </c>
      <c r="G500" s="53">
        <v>42</v>
      </c>
      <c r="H500" s="53">
        <v>45</v>
      </c>
      <c r="I500" s="53">
        <v>19</v>
      </c>
      <c r="J500" s="53">
        <v>2</v>
      </c>
      <c r="K500" s="53">
        <v>14</v>
      </c>
      <c r="L500" s="53">
        <v>5</v>
      </c>
      <c r="M500" s="53">
        <v>6</v>
      </c>
      <c r="N500" s="60" t="s">
        <v>762</v>
      </c>
    </row>
    <row r="501" spans="1:14" x14ac:dyDescent="0.25">
      <c r="A501" s="45">
        <v>1207</v>
      </c>
      <c r="B501" s="50" t="s">
        <v>763</v>
      </c>
      <c r="C501" s="59">
        <f t="shared" si="26"/>
        <v>43753</v>
      </c>
      <c r="D501" s="49" t="str">
        <f t="shared" si="25"/>
        <v>M</v>
      </c>
      <c r="E501" s="63">
        <f>WEEKNUM(C501,21)</f>
        <v>42</v>
      </c>
      <c r="F501" s="45" t="s">
        <v>76</v>
      </c>
      <c r="G501" s="53">
        <v>3</v>
      </c>
      <c r="H501" s="53">
        <v>34</v>
      </c>
      <c r="I501" s="53">
        <v>31</v>
      </c>
      <c r="J501" s="53">
        <v>32</v>
      </c>
      <c r="K501" s="53">
        <v>28</v>
      </c>
      <c r="L501" s="53">
        <v>4</v>
      </c>
      <c r="M501" s="53">
        <v>5</v>
      </c>
      <c r="N501" s="60" t="s">
        <v>764</v>
      </c>
    </row>
    <row r="502" spans="1:14" x14ac:dyDescent="0.25">
      <c r="A502" s="45">
        <v>1208</v>
      </c>
      <c r="B502" s="50" t="s">
        <v>765</v>
      </c>
      <c r="C502" s="59">
        <f t="shared" si="26"/>
        <v>43756</v>
      </c>
      <c r="D502" s="49" t="str">
        <f t="shared" si="25"/>
        <v>V</v>
      </c>
      <c r="E502" s="63">
        <f>WEEKNUM(C502,21)</f>
        <v>42</v>
      </c>
      <c r="F502" s="45" t="s">
        <v>76</v>
      </c>
      <c r="G502" s="53">
        <v>18</v>
      </c>
      <c r="H502" s="53">
        <v>22</v>
      </c>
      <c r="I502" s="53">
        <v>42</v>
      </c>
      <c r="J502" s="53">
        <v>41</v>
      </c>
      <c r="K502" s="53">
        <v>8</v>
      </c>
      <c r="L502" s="53">
        <v>11</v>
      </c>
      <c r="M502" s="53">
        <v>12</v>
      </c>
      <c r="N502" s="60" t="s">
        <v>766</v>
      </c>
    </row>
    <row r="503" spans="1:14" x14ac:dyDescent="0.25">
      <c r="A503" s="45">
        <v>1209</v>
      </c>
      <c r="B503" s="50" t="s">
        <v>767</v>
      </c>
      <c r="C503" s="59">
        <f t="shared" si="26"/>
        <v>43760</v>
      </c>
      <c r="D503" s="49" t="str">
        <f t="shared" si="25"/>
        <v>M</v>
      </c>
      <c r="E503" s="63">
        <f t="shared" ref="E503:E518" si="28">WEEKNUM(C503,21)</f>
        <v>43</v>
      </c>
      <c r="F503" s="45" t="s">
        <v>76</v>
      </c>
      <c r="G503" s="53">
        <v>2</v>
      </c>
      <c r="H503" s="53">
        <v>5</v>
      </c>
      <c r="I503" s="53">
        <v>33</v>
      </c>
      <c r="J503" s="53">
        <v>47</v>
      </c>
      <c r="K503" s="53">
        <v>32</v>
      </c>
      <c r="L503" s="53">
        <v>7</v>
      </c>
      <c r="M503" s="53">
        <v>8</v>
      </c>
      <c r="N503" s="60" t="s">
        <v>768</v>
      </c>
    </row>
    <row r="504" spans="1:14" x14ac:dyDescent="0.25">
      <c r="A504" s="45">
        <v>1210</v>
      </c>
      <c r="B504" s="50" t="s">
        <v>769</v>
      </c>
      <c r="C504" s="59">
        <f t="shared" si="26"/>
        <v>43763</v>
      </c>
      <c r="D504" s="49" t="str">
        <f t="shared" si="25"/>
        <v>V</v>
      </c>
      <c r="E504" s="63">
        <f t="shared" si="28"/>
        <v>43</v>
      </c>
      <c r="F504" s="45" t="s">
        <v>76</v>
      </c>
      <c r="G504" s="53">
        <v>37</v>
      </c>
      <c r="H504" s="53">
        <v>50</v>
      </c>
      <c r="I504" s="53">
        <v>34</v>
      </c>
      <c r="J504" s="53">
        <v>39</v>
      </c>
      <c r="K504" s="53">
        <v>40</v>
      </c>
      <c r="L504" s="53">
        <v>4</v>
      </c>
      <c r="M504" s="53">
        <v>10</v>
      </c>
      <c r="N504" s="60" t="s">
        <v>770</v>
      </c>
    </row>
    <row r="505" spans="1:14" x14ac:dyDescent="0.25">
      <c r="A505" s="45">
        <v>1211</v>
      </c>
      <c r="B505" s="50" t="s">
        <v>771</v>
      </c>
      <c r="C505" s="59">
        <f t="shared" si="26"/>
        <v>43767</v>
      </c>
      <c r="D505" s="49" t="str">
        <f t="shared" si="25"/>
        <v>M</v>
      </c>
      <c r="E505" s="63">
        <f t="shared" si="28"/>
        <v>44</v>
      </c>
      <c r="F505" s="45" t="s">
        <v>76</v>
      </c>
      <c r="G505" s="53">
        <v>49</v>
      </c>
      <c r="H505" s="53">
        <v>42</v>
      </c>
      <c r="I505" s="53">
        <v>28</v>
      </c>
      <c r="J505" s="53">
        <v>16</v>
      </c>
      <c r="K505" s="53">
        <v>18</v>
      </c>
      <c r="L505" s="53">
        <v>10</v>
      </c>
      <c r="M505" s="53">
        <v>5</v>
      </c>
      <c r="N505" s="60" t="s">
        <v>772</v>
      </c>
    </row>
    <row r="506" spans="1:14" x14ac:dyDescent="0.25">
      <c r="A506" s="45">
        <v>1212</v>
      </c>
      <c r="B506" s="50" t="s">
        <v>773</v>
      </c>
      <c r="C506" s="59">
        <f t="shared" si="26"/>
        <v>43770</v>
      </c>
      <c r="D506" s="49" t="str">
        <f t="shared" si="25"/>
        <v>V</v>
      </c>
      <c r="E506" s="63">
        <f t="shared" si="28"/>
        <v>44</v>
      </c>
      <c r="F506" s="45" t="s">
        <v>76</v>
      </c>
      <c r="G506" s="53">
        <v>39</v>
      </c>
      <c r="H506" s="53">
        <v>2</v>
      </c>
      <c r="I506" s="53">
        <v>44</v>
      </c>
      <c r="J506" s="53">
        <v>20</v>
      </c>
      <c r="K506" s="53">
        <v>48</v>
      </c>
      <c r="L506" s="53">
        <v>5</v>
      </c>
      <c r="M506" s="53">
        <v>7</v>
      </c>
      <c r="N506" s="60" t="s">
        <v>774</v>
      </c>
    </row>
    <row r="507" spans="1:14" x14ac:dyDescent="0.25">
      <c r="A507" s="45">
        <v>1213</v>
      </c>
      <c r="B507" s="50" t="s">
        <v>775</v>
      </c>
      <c r="C507" s="59">
        <f t="shared" si="26"/>
        <v>43774</v>
      </c>
      <c r="D507" s="49" t="str">
        <f t="shared" si="25"/>
        <v>M</v>
      </c>
      <c r="E507" s="63">
        <f t="shared" si="28"/>
        <v>45</v>
      </c>
      <c r="F507" s="45" t="s">
        <v>76</v>
      </c>
      <c r="G507" s="53">
        <v>25</v>
      </c>
      <c r="H507" s="53">
        <v>14</v>
      </c>
      <c r="I507" s="53">
        <v>33</v>
      </c>
      <c r="J507" s="53">
        <v>9</v>
      </c>
      <c r="K507" s="53">
        <v>48</v>
      </c>
      <c r="L507" s="53">
        <v>12</v>
      </c>
      <c r="M507" s="53">
        <v>2</v>
      </c>
      <c r="N507" s="60" t="s">
        <v>776</v>
      </c>
    </row>
    <row r="508" spans="1:14" x14ac:dyDescent="0.25">
      <c r="A508" s="45">
        <v>1214</v>
      </c>
      <c r="B508" s="50" t="s">
        <v>777</v>
      </c>
      <c r="C508" s="59">
        <f t="shared" si="26"/>
        <v>43777</v>
      </c>
      <c r="D508" s="49" t="str">
        <f t="shared" si="25"/>
        <v>V</v>
      </c>
      <c r="E508" s="63">
        <f t="shared" si="28"/>
        <v>45</v>
      </c>
      <c r="F508" s="45" t="s">
        <v>76</v>
      </c>
      <c r="G508" s="53">
        <v>20</v>
      </c>
      <c r="H508" s="53">
        <v>8</v>
      </c>
      <c r="I508" s="53">
        <v>45</v>
      </c>
      <c r="J508" s="53">
        <v>23</v>
      </c>
      <c r="K508" s="53">
        <v>17</v>
      </c>
      <c r="L508" s="53">
        <v>2</v>
      </c>
      <c r="M508" s="53">
        <v>8</v>
      </c>
      <c r="N508" s="60" t="s">
        <v>778</v>
      </c>
    </row>
    <row r="509" spans="1:14" x14ac:dyDescent="0.25">
      <c r="A509" s="45">
        <v>1215</v>
      </c>
      <c r="B509" s="50" t="s">
        <v>779</v>
      </c>
      <c r="C509" s="59">
        <f t="shared" si="26"/>
        <v>43781</v>
      </c>
      <c r="D509" s="49" t="str">
        <f t="shared" si="25"/>
        <v>M</v>
      </c>
      <c r="E509" s="63">
        <f t="shared" si="28"/>
        <v>46</v>
      </c>
      <c r="F509" s="45" t="s">
        <v>76</v>
      </c>
      <c r="G509" s="53">
        <v>1</v>
      </c>
      <c r="H509" s="53">
        <v>25</v>
      </c>
      <c r="I509" s="53">
        <v>21</v>
      </c>
      <c r="J509" s="53">
        <v>39</v>
      </c>
      <c r="K509" s="53">
        <v>23</v>
      </c>
      <c r="L509" s="53">
        <v>2</v>
      </c>
      <c r="M509" s="53">
        <v>4</v>
      </c>
      <c r="N509" s="60" t="s">
        <v>780</v>
      </c>
    </row>
    <row r="510" spans="1:14" x14ac:dyDescent="0.25">
      <c r="A510" s="45">
        <v>1216</v>
      </c>
      <c r="B510" s="50" t="s">
        <v>781</v>
      </c>
      <c r="C510" s="59">
        <f t="shared" si="26"/>
        <v>43784</v>
      </c>
      <c r="D510" s="49" t="str">
        <f t="shared" si="25"/>
        <v>V</v>
      </c>
      <c r="E510" s="63">
        <f t="shared" si="28"/>
        <v>46</v>
      </c>
      <c r="F510" s="45" t="s">
        <v>76</v>
      </c>
      <c r="G510" s="53">
        <v>20</v>
      </c>
      <c r="H510" s="53">
        <v>13</v>
      </c>
      <c r="I510" s="53">
        <v>34</v>
      </c>
      <c r="J510" s="53">
        <v>3</v>
      </c>
      <c r="K510" s="53">
        <v>32</v>
      </c>
      <c r="L510" s="53">
        <v>4</v>
      </c>
      <c r="M510" s="53">
        <v>11</v>
      </c>
      <c r="N510" s="60" t="s">
        <v>782</v>
      </c>
    </row>
    <row r="511" spans="1:14" x14ac:dyDescent="0.25">
      <c r="A511" s="45">
        <v>1217</v>
      </c>
      <c r="B511" s="50" t="s">
        <v>783</v>
      </c>
      <c r="C511" s="59">
        <f t="shared" si="26"/>
        <v>43788</v>
      </c>
      <c r="D511" s="49" t="str">
        <f t="shared" si="25"/>
        <v>M</v>
      </c>
      <c r="E511" s="63">
        <f t="shared" si="28"/>
        <v>47</v>
      </c>
      <c r="F511" s="45" t="s">
        <v>76</v>
      </c>
      <c r="G511" s="53">
        <v>10</v>
      </c>
      <c r="H511" s="53">
        <v>15</v>
      </c>
      <c r="I511" s="53">
        <v>42</v>
      </c>
      <c r="J511" s="53">
        <v>30</v>
      </c>
      <c r="K511" s="53">
        <v>8</v>
      </c>
      <c r="L511" s="53">
        <v>4</v>
      </c>
      <c r="M511" s="53">
        <v>6</v>
      </c>
      <c r="N511" s="60" t="s">
        <v>784</v>
      </c>
    </row>
    <row r="512" spans="1:14" x14ac:dyDescent="0.25">
      <c r="A512" s="45">
        <v>1218</v>
      </c>
      <c r="B512" s="50" t="s">
        <v>785</v>
      </c>
      <c r="C512" s="59">
        <f t="shared" si="26"/>
        <v>43791</v>
      </c>
      <c r="D512" s="49" t="str">
        <f t="shared" si="25"/>
        <v>V</v>
      </c>
      <c r="E512" s="63">
        <f t="shared" si="28"/>
        <v>47</v>
      </c>
      <c r="F512" s="45" t="s">
        <v>76</v>
      </c>
      <c r="G512" s="53">
        <v>3</v>
      </c>
      <c r="H512" s="53">
        <v>48</v>
      </c>
      <c r="I512" s="53">
        <v>32</v>
      </c>
      <c r="J512" s="53">
        <v>34</v>
      </c>
      <c r="K512" s="53">
        <v>21</v>
      </c>
      <c r="L512" s="53">
        <v>3</v>
      </c>
      <c r="M512" s="53">
        <v>11</v>
      </c>
      <c r="N512" s="60" t="s">
        <v>786</v>
      </c>
    </row>
    <row r="513" spans="1:14" x14ac:dyDescent="0.25">
      <c r="A513" s="45">
        <v>1219</v>
      </c>
      <c r="B513" s="50" t="s">
        <v>787</v>
      </c>
      <c r="C513" s="59">
        <f t="shared" si="26"/>
        <v>43795</v>
      </c>
      <c r="D513" s="49" t="str">
        <f t="shared" si="25"/>
        <v>M</v>
      </c>
      <c r="E513" s="63">
        <f t="shared" si="28"/>
        <v>48</v>
      </c>
      <c r="F513" s="45" t="s">
        <v>76</v>
      </c>
      <c r="G513" s="53">
        <v>34</v>
      </c>
      <c r="H513" s="53">
        <v>3</v>
      </c>
      <c r="I513" s="53">
        <v>15</v>
      </c>
      <c r="J513" s="53">
        <v>2</v>
      </c>
      <c r="K513" s="53">
        <v>19</v>
      </c>
      <c r="L513" s="53">
        <v>5</v>
      </c>
      <c r="M513" s="53">
        <v>8</v>
      </c>
      <c r="N513" s="60" t="s">
        <v>788</v>
      </c>
    </row>
    <row r="514" spans="1:14" x14ac:dyDescent="0.25">
      <c r="A514" s="45">
        <v>1220</v>
      </c>
      <c r="B514" s="50" t="s">
        <v>789</v>
      </c>
      <c r="C514" s="59">
        <f t="shared" si="26"/>
        <v>43798</v>
      </c>
      <c r="D514" s="49" t="str">
        <f t="shared" ref="D514:D545" si="29">CHOOSE(WEEKDAY(C514),"D","L","M","X","J","V","S")</f>
        <v>V</v>
      </c>
      <c r="E514" s="63">
        <f t="shared" si="28"/>
        <v>48</v>
      </c>
      <c r="F514" s="45" t="s">
        <v>76</v>
      </c>
      <c r="G514" s="53">
        <v>50</v>
      </c>
      <c r="H514" s="53">
        <v>42</v>
      </c>
      <c r="I514" s="53">
        <v>12</v>
      </c>
      <c r="J514" s="53">
        <v>3</v>
      </c>
      <c r="K514" s="53">
        <v>7</v>
      </c>
      <c r="L514" s="53">
        <v>6</v>
      </c>
      <c r="M514" s="53">
        <v>8</v>
      </c>
      <c r="N514" s="60" t="s">
        <v>790</v>
      </c>
    </row>
    <row r="515" spans="1:14" x14ac:dyDescent="0.25">
      <c r="A515" s="45">
        <v>1221</v>
      </c>
      <c r="B515" s="50" t="s">
        <v>791</v>
      </c>
      <c r="C515" s="59">
        <f t="shared" si="26"/>
        <v>43802</v>
      </c>
      <c r="D515" s="49" t="str">
        <f t="shared" si="29"/>
        <v>M</v>
      </c>
      <c r="E515" s="63">
        <f t="shared" si="28"/>
        <v>49</v>
      </c>
      <c r="F515" s="45" t="s">
        <v>76</v>
      </c>
      <c r="G515" s="53">
        <v>32</v>
      </c>
      <c r="H515" s="53">
        <v>31</v>
      </c>
      <c r="I515" s="53">
        <v>38</v>
      </c>
      <c r="J515" s="53">
        <v>18</v>
      </c>
      <c r="K515" s="53">
        <v>48</v>
      </c>
      <c r="L515" s="53">
        <v>12</v>
      </c>
      <c r="M515" s="53">
        <v>4</v>
      </c>
      <c r="N515" s="60" t="s">
        <v>792</v>
      </c>
    </row>
    <row r="516" spans="1:14" x14ac:dyDescent="0.25">
      <c r="A516" s="45">
        <v>1222</v>
      </c>
      <c r="B516" s="50" t="s">
        <v>793</v>
      </c>
      <c r="C516" s="59">
        <f t="shared" si="26"/>
        <v>43805</v>
      </c>
      <c r="D516" s="49" t="str">
        <f t="shared" si="29"/>
        <v>V</v>
      </c>
      <c r="E516" s="63">
        <f t="shared" si="28"/>
        <v>49</v>
      </c>
      <c r="F516" s="45" t="s">
        <v>76</v>
      </c>
      <c r="G516" s="53">
        <v>46</v>
      </c>
      <c r="H516" s="53">
        <v>1</v>
      </c>
      <c r="I516" s="53">
        <v>39</v>
      </c>
      <c r="J516" s="53">
        <v>3</v>
      </c>
      <c r="K516" s="53">
        <v>27</v>
      </c>
      <c r="L516" s="53">
        <v>1</v>
      </c>
      <c r="M516" s="53">
        <v>10</v>
      </c>
      <c r="N516" s="60" t="s">
        <v>794</v>
      </c>
    </row>
    <row r="517" spans="1:14" x14ac:dyDescent="0.25">
      <c r="A517" s="45">
        <v>1223</v>
      </c>
      <c r="B517" s="50" t="s">
        <v>795</v>
      </c>
      <c r="C517" s="59">
        <f t="shared" si="26"/>
        <v>43809</v>
      </c>
      <c r="D517" s="49" t="str">
        <f t="shared" si="29"/>
        <v>M</v>
      </c>
      <c r="E517" s="63">
        <f t="shared" si="28"/>
        <v>50</v>
      </c>
      <c r="F517" s="45" t="s">
        <v>76</v>
      </c>
      <c r="G517" s="53">
        <v>19</v>
      </c>
      <c r="H517" s="53">
        <v>47</v>
      </c>
      <c r="I517" s="53">
        <v>21</v>
      </c>
      <c r="J517" s="53">
        <v>2</v>
      </c>
      <c r="K517" s="53">
        <v>10</v>
      </c>
      <c r="L517" s="53">
        <v>8</v>
      </c>
      <c r="M517" s="53">
        <v>2</v>
      </c>
      <c r="N517" s="60" t="s">
        <v>796</v>
      </c>
    </row>
    <row r="518" spans="1:14" x14ac:dyDescent="0.25">
      <c r="A518" s="45">
        <v>1224</v>
      </c>
      <c r="B518" s="50" t="s">
        <v>797</v>
      </c>
      <c r="C518" s="59">
        <f t="shared" si="26"/>
        <v>43812</v>
      </c>
      <c r="D518" s="49" t="str">
        <f t="shared" si="29"/>
        <v>V</v>
      </c>
      <c r="E518" s="63">
        <f t="shared" si="28"/>
        <v>50</v>
      </c>
      <c r="F518" s="45" t="s">
        <v>76</v>
      </c>
      <c r="G518" s="53">
        <v>16</v>
      </c>
      <c r="H518" s="53">
        <v>9</v>
      </c>
      <c r="I518" s="53">
        <v>23</v>
      </c>
      <c r="J518" s="53">
        <v>18</v>
      </c>
      <c r="K518" s="53">
        <v>32</v>
      </c>
      <c r="L518" s="53">
        <v>2</v>
      </c>
      <c r="M518" s="53">
        <v>10</v>
      </c>
      <c r="N518" s="60" t="s">
        <v>798</v>
      </c>
    </row>
    <row r="519" spans="1:14" x14ac:dyDescent="0.25">
      <c r="A519" s="45">
        <v>1225</v>
      </c>
      <c r="B519" s="50" t="s">
        <v>799</v>
      </c>
      <c r="C519" s="59">
        <f t="shared" si="26"/>
        <v>43816</v>
      </c>
      <c r="D519" s="49" t="str">
        <f t="shared" si="29"/>
        <v>M</v>
      </c>
      <c r="E519" s="63">
        <f>WEEKNUM(C519,21)</f>
        <v>51</v>
      </c>
      <c r="F519" s="45" t="s">
        <v>76</v>
      </c>
      <c r="G519" s="53">
        <v>7</v>
      </c>
      <c r="H519" s="53">
        <v>1</v>
      </c>
      <c r="I519" s="53">
        <v>12</v>
      </c>
      <c r="J519" s="53">
        <v>25</v>
      </c>
      <c r="K519" s="53">
        <v>49</v>
      </c>
      <c r="L519" s="53">
        <v>9</v>
      </c>
      <c r="M519" s="53">
        <v>6</v>
      </c>
      <c r="N519" s="60" t="s">
        <v>800</v>
      </c>
    </row>
    <row r="520" spans="1:14" x14ac:dyDescent="0.25">
      <c r="A520" s="45">
        <v>1226</v>
      </c>
      <c r="B520" s="50" t="s">
        <v>801</v>
      </c>
      <c r="C520" s="59">
        <f t="shared" si="26"/>
        <v>43819</v>
      </c>
      <c r="D520" s="49" t="str">
        <f t="shared" si="29"/>
        <v>V</v>
      </c>
      <c r="E520" s="63">
        <f>WEEKNUM(C520,21)</f>
        <v>51</v>
      </c>
      <c r="F520" s="45" t="s">
        <v>76</v>
      </c>
      <c r="G520" s="53">
        <v>8</v>
      </c>
      <c r="H520" s="53">
        <v>24</v>
      </c>
      <c r="I520" s="53">
        <v>32</v>
      </c>
      <c r="J520" s="53">
        <v>34</v>
      </c>
      <c r="K520" s="53">
        <v>30</v>
      </c>
      <c r="L520" s="53">
        <v>3</v>
      </c>
      <c r="M520" s="53">
        <v>4</v>
      </c>
      <c r="N520" s="60" t="s">
        <v>802</v>
      </c>
    </row>
    <row r="521" spans="1:14" x14ac:dyDescent="0.25">
      <c r="A521" s="45">
        <v>1227</v>
      </c>
      <c r="B521" s="50" t="s">
        <v>803</v>
      </c>
      <c r="C521" s="59">
        <f t="shared" si="26"/>
        <v>43823</v>
      </c>
      <c r="D521" s="49" t="str">
        <f t="shared" si="29"/>
        <v>M</v>
      </c>
      <c r="E521" s="63">
        <f t="shared" ref="E521:E545" si="30">WEEKNUM(C521,21)</f>
        <v>52</v>
      </c>
      <c r="F521" s="45" t="s">
        <v>76</v>
      </c>
      <c r="G521" s="53">
        <v>47</v>
      </c>
      <c r="H521" s="53">
        <v>14</v>
      </c>
      <c r="I521" s="53">
        <v>11</v>
      </c>
      <c r="J521" s="53">
        <v>13</v>
      </c>
      <c r="K521" s="53">
        <v>3</v>
      </c>
      <c r="L521" s="53">
        <v>3</v>
      </c>
      <c r="M521" s="53">
        <v>6</v>
      </c>
      <c r="N521" s="60" t="s">
        <v>804</v>
      </c>
    </row>
    <row r="522" spans="1:14" x14ac:dyDescent="0.25">
      <c r="A522" s="45">
        <v>1228</v>
      </c>
      <c r="B522" s="50" t="s">
        <v>805</v>
      </c>
      <c r="C522" s="59">
        <f t="shared" si="26"/>
        <v>43826</v>
      </c>
      <c r="D522" s="49" t="str">
        <f t="shared" si="29"/>
        <v>V</v>
      </c>
      <c r="E522" s="63">
        <f t="shared" si="30"/>
        <v>52</v>
      </c>
      <c r="F522" s="45" t="s">
        <v>76</v>
      </c>
      <c r="G522" s="53">
        <v>22</v>
      </c>
      <c r="H522" s="53">
        <v>26</v>
      </c>
      <c r="I522" s="53">
        <v>35</v>
      </c>
      <c r="J522" s="53">
        <v>7</v>
      </c>
      <c r="K522" s="53">
        <v>1</v>
      </c>
      <c r="L522" s="53">
        <v>5</v>
      </c>
      <c r="M522" s="53">
        <v>10</v>
      </c>
      <c r="N522" s="60" t="s">
        <v>806</v>
      </c>
    </row>
    <row r="523" spans="1:14" x14ac:dyDescent="0.25">
      <c r="A523" s="45">
        <v>1229</v>
      </c>
      <c r="B523" s="50" t="s">
        <v>807</v>
      </c>
      <c r="C523" s="59">
        <f t="shared" si="26"/>
        <v>43830</v>
      </c>
      <c r="D523" s="49" t="str">
        <f t="shared" si="29"/>
        <v>M</v>
      </c>
      <c r="E523" s="63">
        <f t="shared" si="30"/>
        <v>1</v>
      </c>
      <c r="F523" s="45" t="s">
        <v>76</v>
      </c>
      <c r="G523" s="53">
        <v>41</v>
      </c>
      <c r="H523" s="53">
        <v>31</v>
      </c>
      <c r="I523" s="53">
        <v>48</v>
      </c>
      <c r="J523" s="53">
        <v>33</v>
      </c>
      <c r="K523" s="53">
        <v>26</v>
      </c>
      <c r="L523" s="53">
        <v>4</v>
      </c>
      <c r="M523" s="53">
        <v>2</v>
      </c>
      <c r="N523" s="60" t="s">
        <v>808</v>
      </c>
    </row>
    <row r="524" spans="1:14" x14ac:dyDescent="0.25">
      <c r="A524" s="45">
        <v>1230</v>
      </c>
      <c r="B524" s="50" t="s">
        <v>871</v>
      </c>
      <c r="C524" s="59">
        <f t="shared" si="26"/>
        <v>43833</v>
      </c>
      <c r="D524" s="49" t="str">
        <f t="shared" si="29"/>
        <v>V</v>
      </c>
      <c r="E524" s="63">
        <f t="shared" si="30"/>
        <v>1</v>
      </c>
      <c r="F524" s="45" t="s">
        <v>76</v>
      </c>
      <c r="G524" s="53">
        <v>15</v>
      </c>
      <c r="H524" s="53">
        <v>5</v>
      </c>
      <c r="I524" s="53">
        <v>20</v>
      </c>
      <c r="J524" s="53">
        <v>47</v>
      </c>
      <c r="K524" s="53">
        <v>36</v>
      </c>
      <c r="L524" s="53">
        <v>12</v>
      </c>
      <c r="M524" s="53">
        <v>8</v>
      </c>
      <c r="N524" s="60" t="s">
        <v>809</v>
      </c>
    </row>
    <row r="525" spans="1:14" x14ac:dyDescent="0.25">
      <c r="A525" s="45">
        <v>1231</v>
      </c>
      <c r="B525" s="50" t="s">
        <v>872</v>
      </c>
      <c r="C525" s="59">
        <f t="shared" ref="C525:C546" si="31">+C523+7</f>
        <v>43837</v>
      </c>
      <c r="D525" s="49" t="str">
        <f t="shared" si="29"/>
        <v>M</v>
      </c>
      <c r="E525" s="63">
        <f t="shared" si="30"/>
        <v>2</v>
      </c>
      <c r="F525" s="45" t="s">
        <v>76</v>
      </c>
      <c r="G525" s="53">
        <v>8</v>
      </c>
      <c r="H525" s="53">
        <v>37</v>
      </c>
      <c r="I525" s="53">
        <v>12</v>
      </c>
      <c r="J525" s="53">
        <v>5</v>
      </c>
      <c r="K525" s="53">
        <v>43</v>
      </c>
      <c r="L525" s="53">
        <v>11</v>
      </c>
      <c r="M525" s="53">
        <v>6</v>
      </c>
      <c r="N525" s="60" t="s">
        <v>810</v>
      </c>
    </row>
    <row r="526" spans="1:14" x14ac:dyDescent="0.25">
      <c r="A526" s="45">
        <v>1232</v>
      </c>
      <c r="B526" s="50" t="s">
        <v>873</v>
      </c>
      <c r="C526" s="59">
        <f t="shared" si="31"/>
        <v>43840</v>
      </c>
      <c r="D526" s="49" t="str">
        <f t="shared" si="29"/>
        <v>V</v>
      </c>
      <c r="E526" s="63">
        <f t="shared" si="30"/>
        <v>2</v>
      </c>
      <c r="F526" s="45" t="s">
        <v>76</v>
      </c>
      <c r="G526" s="53">
        <v>32</v>
      </c>
      <c r="H526" s="53">
        <v>44</v>
      </c>
      <c r="I526" s="53">
        <v>17</v>
      </c>
      <c r="J526" s="53">
        <v>6</v>
      </c>
      <c r="K526" s="53">
        <v>46</v>
      </c>
      <c r="L526" s="53">
        <v>2</v>
      </c>
      <c r="M526" s="53">
        <v>6</v>
      </c>
      <c r="N526" s="60" t="s">
        <v>811</v>
      </c>
    </row>
    <row r="527" spans="1:14" x14ac:dyDescent="0.25">
      <c r="A527" s="45">
        <v>1233</v>
      </c>
      <c r="B527" s="50" t="s">
        <v>874</v>
      </c>
      <c r="C527" s="59">
        <f t="shared" si="31"/>
        <v>43844</v>
      </c>
      <c r="D527" s="49" t="str">
        <f t="shared" si="29"/>
        <v>M</v>
      </c>
      <c r="E527" s="63">
        <f t="shared" si="30"/>
        <v>3</v>
      </c>
      <c r="F527" s="45" t="s">
        <v>76</v>
      </c>
      <c r="G527" s="53">
        <v>25</v>
      </c>
      <c r="H527" s="53">
        <v>39</v>
      </c>
      <c r="I527" s="53">
        <v>21</v>
      </c>
      <c r="J527" s="53">
        <v>44</v>
      </c>
      <c r="K527" s="53">
        <v>29</v>
      </c>
      <c r="L527" s="53">
        <v>9</v>
      </c>
      <c r="M527" s="53">
        <v>8</v>
      </c>
      <c r="N527" s="60" t="s">
        <v>812</v>
      </c>
    </row>
    <row r="528" spans="1:14" x14ac:dyDescent="0.25">
      <c r="A528" s="45">
        <v>1234</v>
      </c>
      <c r="B528" s="50" t="s">
        <v>875</v>
      </c>
      <c r="C528" s="59">
        <f t="shared" si="31"/>
        <v>43847</v>
      </c>
      <c r="D528" s="49" t="str">
        <f t="shared" si="29"/>
        <v>V</v>
      </c>
      <c r="E528" s="63">
        <f t="shared" si="30"/>
        <v>3</v>
      </c>
      <c r="F528" s="45" t="s">
        <v>76</v>
      </c>
      <c r="G528" s="53">
        <v>20</v>
      </c>
      <c r="H528" s="53">
        <v>8</v>
      </c>
      <c r="I528" s="53">
        <v>29</v>
      </c>
      <c r="J528" s="53">
        <v>44</v>
      </c>
      <c r="K528" s="53">
        <v>19</v>
      </c>
      <c r="L528" s="53">
        <v>8</v>
      </c>
      <c r="M528" s="53">
        <v>3</v>
      </c>
      <c r="N528" s="60" t="s">
        <v>813</v>
      </c>
    </row>
    <row r="529" spans="1:14" x14ac:dyDescent="0.25">
      <c r="A529" s="45">
        <v>1235</v>
      </c>
      <c r="B529" s="50" t="s">
        <v>876</v>
      </c>
      <c r="C529" s="59">
        <f t="shared" si="31"/>
        <v>43851</v>
      </c>
      <c r="D529" s="49" t="str">
        <f t="shared" si="29"/>
        <v>M</v>
      </c>
      <c r="E529" s="63">
        <f t="shared" si="30"/>
        <v>4</v>
      </c>
      <c r="F529" s="45" t="s">
        <v>76</v>
      </c>
      <c r="G529" s="53">
        <v>36</v>
      </c>
      <c r="H529" s="53">
        <v>10</v>
      </c>
      <c r="I529" s="53">
        <v>24</v>
      </c>
      <c r="J529" s="53">
        <v>11</v>
      </c>
      <c r="K529" s="53">
        <v>46</v>
      </c>
      <c r="L529" s="53">
        <v>3</v>
      </c>
      <c r="M529" s="53">
        <v>5</v>
      </c>
      <c r="N529" s="60" t="s">
        <v>814</v>
      </c>
    </row>
    <row r="530" spans="1:14" x14ac:dyDescent="0.25">
      <c r="A530" s="45">
        <v>1236</v>
      </c>
      <c r="B530" s="50" t="s">
        <v>877</v>
      </c>
      <c r="C530" s="59">
        <f t="shared" si="31"/>
        <v>43854</v>
      </c>
      <c r="D530" s="49" t="str">
        <f t="shared" si="29"/>
        <v>V</v>
      </c>
      <c r="E530" s="63">
        <f t="shared" si="30"/>
        <v>4</v>
      </c>
      <c r="F530" s="45" t="s">
        <v>76</v>
      </c>
      <c r="G530" s="53">
        <v>9</v>
      </c>
      <c r="H530" s="53">
        <v>6</v>
      </c>
      <c r="I530" s="53">
        <v>4</v>
      </c>
      <c r="J530" s="53">
        <v>3</v>
      </c>
      <c r="K530" s="53">
        <v>24</v>
      </c>
      <c r="L530" s="53">
        <v>8</v>
      </c>
      <c r="M530" s="53">
        <v>5</v>
      </c>
      <c r="N530" s="60" t="s">
        <v>815</v>
      </c>
    </row>
    <row r="531" spans="1:14" x14ac:dyDescent="0.25">
      <c r="A531" s="45">
        <v>1237</v>
      </c>
      <c r="B531" s="50" t="s">
        <v>878</v>
      </c>
      <c r="C531" s="59">
        <f t="shared" si="31"/>
        <v>43858</v>
      </c>
      <c r="D531" s="49" t="str">
        <f t="shared" si="29"/>
        <v>M</v>
      </c>
      <c r="E531" s="63">
        <f t="shared" si="30"/>
        <v>5</v>
      </c>
      <c r="F531" s="45" t="s">
        <v>76</v>
      </c>
      <c r="G531" s="53">
        <v>31</v>
      </c>
      <c r="H531" s="53">
        <v>27</v>
      </c>
      <c r="I531" s="53">
        <v>1</v>
      </c>
      <c r="J531" s="53">
        <v>19</v>
      </c>
      <c r="K531" s="53">
        <v>38</v>
      </c>
      <c r="L531" s="53">
        <v>5</v>
      </c>
      <c r="M531" s="53">
        <v>4</v>
      </c>
      <c r="N531" s="60" t="s">
        <v>816</v>
      </c>
    </row>
    <row r="532" spans="1:14" x14ac:dyDescent="0.25">
      <c r="A532" s="45">
        <v>1238</v>
      </c>
      <c r="B532" s="50" t="s">
        <v>879</v>
      </c>
      <c r="C532" s="59">
        <f t="shared" si="31"/>
        <v>43861</v>
      </c>
      <c r="D532" s="49" t="str">
        <f t="shared" si="29"/>
        <v>V</v>
      </c>
      <c r="E532" s="63">
        <f t="shared" si="30"/>
        <v>5</v>
      </c>
      <c r="F532" s="45" t="s">
        <v>76</v>
      </c>
      <c r="G532" s="53">
        <v>20</v>
      </c>
      <c r="H532" s="53">
        <v>23</v>
      </c>
      <c r="I532" s="53">
        <v>13</v>
      </c>
      <c r="J532" s="53">
        <v>30</v>
      </c>
      <c r="K532" s="53">
        <v>18</v>
      </c>
      <c r="L532" s="53">
        <v>2</v>
      </c>
      <c r="M532" s="53">
        <v>4</v>
      </c>
      <c r="N532" s="60" t="s">
        <v>817</v>
      </c>
    </row>
    <row r="533" spans="1:14" x14ac:dyDescent="0.25">
      <c r="A533" s="45">
        <v>1239</v>
      </c>
      <c r="B533" s="50" t="s">
        <v>818</v>
      </c>
      <c r="C533" s="59">
        <f t="shared" si="31"/>
        <v>43865</v>
      </c>
      <c r="D533" s="49" t="str">
        <f t="shared" si="29"/>
        <v>M</v>
      </c>
      <c r="E533" s="63">
        <f t="shared" si="30"/>
        <v>6</v>
      </c>
      <c r="F533" s="45" t="s">
        <v>76</v>
      </c>
      <c r="G533" s="53">
        <v>35</v>
      </c>
      <c r="H533" s="53">
        <v>21</v>
      </c>
      <c r="I533" s="53">
        <v>33</v>
      </c>
      <c r="J533" s="53">
        <v>23</v>
      </c>
      <c r="K533" s="53">
        <v>47</v>
      </c>
      <c r="L533" s="53">
        <v>6</v>
      </c>
      <c r="M533" s="53">
        <v>7</v>
      </c>
      <c r="N533" s="60" t="s">
        <v>819</v>
      </c>
    </row>
    <row r="534" spans="1:14" x14ac:dyDescent="0.25">
      <c r="A534" s="45">
        <v>1240</v>
      </c>
      <c r="B534" s="50" t="s">
        <v>820</v>
      </c>
      <c r="C534" s="59">
        <f t="shared" si="31"/>
        <v>43868</v>
      </c>
      <c r="D534" s="49" t="str">
        <f t="shared" si="29"/>
        <v>V</v>
      </c>
      <c r="E534" s="63">
        <f t="shared" si="30"/>
        <v>6</v>
      </c>
      <c r="F534" s="45" t="s">
        <v>76</v>
      </c>
      <c r="G534" s="53">
        <v>17</v>
      </c>
      <c r="H534" s="53">
        <v>15</v>
      </c>
      <c r="I534" s="53">
        <v>9</v>
      </c>
      <c r="J534" s="53">
        <v>25</v>
      </c>
      <c r="K534" s="53">
        <v>40</v>
      </c>
      <c r="L534" s="53">
        <v>9</v>
      </c>
      <c r="M534" s="53">
        <v>3</v>
      </c>
      <c r="N534" s="60" t="s">
        <v>821</v>
      </c>
    </row>
    <row r="535" spans="1:14" x14ac:dyDescent="0.25">
      <c r="A535" s="45">
        <v>1241</v>
      </c>
      <c r="B535" s="50" t="s">
        <v>822</v>
      </c>
      <c r="C535" s="59">
        <f t="shared" si="31"/>
        <v>43872</v>
      </c>
      <c r="D535" s="49" t="str">
        <f t="shared" si="29"/>
        <v>M</v>
      </c>
      <c r="E535" s="63">
        <f t="shared" si="30"/>
        <v>7</v>
      </c>
      <c r="F535" s="45" t="s">
        <v>76</v>
      </c>
      <c r="G535" s="53">
        <v>43</v>
      </c>
      <c r="H535" s="53">
        <v>26</v>
      </c>
      <c r="I535" s="53">
        <v>24</v>
      </c>
      <c r="J535" s="53">
        <v>32</v>
      </c>
      <c r="K535" s="53">
        <v>46</v>
      </c>
      <c r="L535" s="53">
        <v>6</v>
      </c>
      <c r="M535" s="53">
        <v>10</v>
      </c>
      <c r="N535" s="60" t="s">
        <v>823</v>
      </c>
    </row>
    <row r="536" spans="1:14" x14ac:dyDescent="0.25">
      <c r="A536" s="45">
        <v>1242</v>
      </c>
      <c r="B536" s="50" t="s">
        <v>824</v>
      </c>
      <c r="C536" s="59">
        <f t="shared" si="31"/>
        <v>43875</v>
      </c>
      <c r="D536" s="49" t="str">
        <f t="shared" si="29"/>
        <v>V</v>
      </c>
      <c r="E536" s="63">
        <f t="shared" si="30"/>
        <v>7</v>
      </c>
      <c r="F536" s="45" t="s">
        <v>76</v>
      </c>
      <c r="G536" s="53">
        <v>5</v>
      </c>
      <c r="H536" s="53">
        <v>35</v>
      </c>
      <c r="I536" s="53">
        <v>20</v>
      </c>
      <c r="J536" s="53">
        <v>41</v>
      </c>
      <c r="K536" s="53">
        <v>49</v>
      </c>
      <c r="L536" s="53">
        <v>10</v>
      </c>
      <c r="M536" s="53">
        <v>6</v>
      </c>
      <c r="N536" s="60" t="s">
        <v>825</v>
      </c>
    </row>
    <row r="537" spans="1:14" x14ac:dyDescent="0.25">
      <c r="A537" s="45">
        <v>1243</v>
      </c>
      <c r="B537" s="50" t="s">
        <v>826</v>
      </c>
      <c r="C537" s="59">
        <f t="shared" si="31"/>
        <v>43879</v>
      </c>
      <c r="D537" s="49" t="str">
        <f t="shared" si="29"/>
        <v>M</v>
      </c>
      <c r="E537" s="63">
        <f t="shared" si="30"/>
        <v>8</v>
      </c>
      <c r="F537" s="45" t="s">
        <v>76</v>
      </c>
      <c r="G537" s="53">
        <v>34</v>
      </c>
      <c r="H537" s="53">
        <v>32</v>
      </c>
      <c r="I537" s="53">
        <v>11</v>
      </c>
      <c r="J537" s="53">
        <v>38</v>
      </c>
      <c r="K537" s="53">
        <v>47</v>
      </c>
      <c r="L537" s="53">
        <v>10</v>
      </c>
      <c r="M537" s="53">
        <v>2</v>
      </c>
      <c r="N537" s="60" t="s">
        <v>827</v>
      </c>
    </row>
    <row r="538" spans="1:14" x14ac:dyDescent="0.25">
      <c r="A538" s="45">
        <v>1244</v>
      </c>
      <c r="B538" s="50" t="s">
        <v>828</v>
      </c>
      <c r="C538" s="59">
        <f t="shared" si="31"/>
        <v>43882</v>
      </c>
      <c r="D538" s="49" t="str">
        <f t="shared" si="29"/>
        <v>V</v>
      </c>
      <c r="E538" s="63">
        <f t="shared" si="30"/>
        <v>8</v>
      </c>
      <c r="F538" s="45" t="s">
        <v>76</v>
      </c>
      <c r="G538" s="53">
        <v>32</v>
      </c>
      <c r="H538" s="53">
        <v>23</v>
      </c>
      <c r="I538" s="53">
        <v>30</v>
      </c>
      <c r="J538" s="53">
        <v>45</v>
      </c>
      <c r="K538" s="53">
        <v>7</v>
      </c>
      <c r="L538" s="53">
        <v>5</v>
      </c>
      <c r="M538" s="53">
        <v>9</v>
      </c>
      <c r="N538" s="60" t="s">
        <v>829</v>
      </c>
    </row>
    <row r="539" spans="1:14" x14ac:dyDescent="0.25">
      <c r="A539" s="45">
        <v>1245</v>
      </c>
      <c r="B539" s="50" t="s">
        <v>830</v>
      </c>
      <c r="C539" s="59">
        <f t="shared" si="31"/>
        <v>43886</v>
      </c>
      <c r="D539" s="49" t="str">
        <f t="shared" si="29"/>
        <v>M</v>
      </c>
      <c r="E539" s="63">
        <f t="shared" si="30"/>
        <v>9</v>
      </c>
      <c r="F539" s="45" t="s">
        <v>76</v>
      </c>
      <c r="G539" s="53">
        <v>4</v>
      </c>
      <c r="H539" s="53">
        <v>42</v>
      </c>
      <c r="I539" s="53">
        <v>18</v>
      </c>
      <c r="J539" s="53">
        <v>27</v>
      </c>
      <c r="K539" s="53">
        <v>1</v>
      </c>
      <c r="L539" s="53">
        <v>6</v>
      </c>
      <c r="M539" s="53">
        <v>4</v>
      </c>
      <c r="N539" s="60" t="s">
        <v>831</v>
      </c>
    </row>
    <row r="540" spans="1:14" x14ac:dyDescent="0.25">
      <c r="A540" s="45">
        <v>1246</v>
      </c>
      <c r="B540" s="50" t="s">
        <v>832</v>
      </c>
      <c r="C540" s="59">
        <f t="shared" si="31"/>
        <v>43889</v>
      </c>
      <c r="D540" s="49" t="str">
        <f t="shared" si="29"/>
        <v>V</v>
      </c>
      <c r="E540" s="63">
        <f t="shared" si="30"/>
        <v>9</v>
      </c>
      <c r="F540" s="45" t="s">
        <v>76</v>
      </c>
      <c r="G540" s="53">
        <v>8</v>
      </c>
      <c r="H540" s="53">
        <v>11</v>
      </c>
      <c r="I540" s="53">
        <v>23</v>
      </c>
      <c r="J540" s="53">
        <v>20</v>
      </c>
      <c r="K540" s="53">
        <v>22</v>
      </c>
      <c r="L540" s="53">
        <v>4</v>
      </c>
      <c r="M540" s="53">
        <v>3</v>
      </c>
      <c r="N540" s="60" t="s">
        <v>833</v>
      </c>
    </row>
    <row r="541" spans="1:14" x14ac:dyDescent="0.25">
      <c r="A541" s="45">
        <v>1247</v>
      </c>
      <c r="B541" s="50" t="s">
        <v>834</v>
      </c>
      <c r="C541" s="59">
        <f t="shared" si="31"/>
        <v>43893</v>
      </c>
      <c r="D541" s="49" t="str">
        <f t="shared" si="29"/>
        <v>M</v>
      </c>
      <c r="E541" s="63">
        <f t="shared" si="30"/>
        <v>10</v>
      </c>
      <c r="F541" s="45" t="s">
        <v>76</v>
      </c>
      <c r="G541" s="53">
        <v>27</v>
      </c>
      <c r="H541" s="53">
        <v>44</v>
      </c>
      <c r="I541" s="53">
        <v>4</v>
      </c>
      <c r="J541" s="53">
        <v>14</v>
      </c>
      <c r="K541" s="53">
        <v>45</v>
      </c>
      <c r="L541" s="53">
        <v>10</v>
      </c>
      <c r="M541" s="53">
        <v>1</v>
      </c>
      <c r="N541" s="60" t="s">
        <v>835</v>
      </c>
    </row>
    <row r="542" spans="1:14" x14ac:dyDescent="0.25">
      <c r="A542" s="45">
        <v>1248</v>
      </c>
      <c r="B542" s="50" t="s">
        <v>836</v>
      </c>
      <c r="C542" s="59">
        <f t="shared" si="31"/>
        <v>43896</v>
      </c>
      <c r="D542" s="49" t="str">
        <f t="shared" si="29"/>
        <v>V</v>
      </c>
      <c r="E542" s="63">
        <f t="shared" si="30"/>
        <v>10</v>
      </c>
      <c r="F542" s="45" t="s">
        <v>76</v>
      </c>
      <c r="G542" s="53">
        <v>15</v>
      </c>
      <c r="H542" s="53">
        <v>43</v>
      </c>
      <c r="I542" s="53">
        <v>38</v>
      </c>
      <c r="J542" s="53">
        <v>45</v>
      </c>
      <c r="K542" s="53">
        <v>46</v>
      </c>
      <c r="L542" s="53">
        <v>1</v>
      </c>
      <c r="M542" s="53">
        <v>11</v>
      </c>
      <c r="N542" s="60" t="s">
        <v>837</v>
      </c>
    </row>
    <row r="543" spans="1:14" x14ac:dyDescent="0.25">
      <c r="A543" s="45">
        <v>1249</v>
      </c>
      <c r="B543" s="50" t="s">
        <v>838</v>
      </c>
      <c r="C543" s="59">
        <f t="shared" si="31"/>
        <v>43900</v>
      </c>
      <c r="D543" s="49" t="str">
        <f t="shared" si="29"/>
        <v>M</v>
      </c>
      <c r="E543" s="63">
        <f t="shared" si="30"/>
        <v>11</v>
      </c>
      <c r="F543" s="45" t="s">
        <v>76</v>
      </c>
      <c r="G543" s="53">
        <v>23</v>
      </c>
      <c r="H543" s="53">
        <v>43</v>
      </c>
      <c r="I543" s="53">
        <v>30</v>
      </c>
      <c r="J543" s="53">
        <v>11</v>
      </c>
      <c r="K543" s="53">
        <v>37</v>
      </c>
      <c r="L543" s="53">
        <v>5</v>
      </c>
      <c r="M543" s="53">
        <v>12</v>
      </c>
      <c r="N543" s="60" t="s">
        <v>839</v>
      </c>
    </row>
    <row r="544" spans="1:14" x14ac:dyDescent="0.25">
      <c r="A544" s="45">
        <v>1250</v>
      </c>
      <c r="B544" s="50" t="s">
        <v>840</v>
      </c>
      <c r="C544" s="59">
        <f t="shared" si="31"/>
        <v>43903</v>
      </c>
      <c r="D544" s="49" t="str">
        <f t="shared" si="29"/>
        <v>V</v>
      </c>
      <c r="E544" s="63">
        <f t="shared" si="30"/>
        <v>11</v>
      </c>
      <c r="F544" s="45" t="s">
        <v>76</v>
      </c>
      <c r="G544" s="53">
        <v>21</v>
      </c>
      <c r="H544" s="53">
        <v>3</v>
      </c>
      <c r="I544" s="53">
        <v>11</v>
      </c>
      <c r="J544" s="53">
        <v>36</v>
      </c>
      <c r="K544" s="53">
        <v>27</v>
      </c>
      <c r="L544" s="53">
        <v>9</v>
      </c>
      <c r="M544" s="53">
        <v>10</v>
      </c>
      <c r="N544" s="60" t="s">
        <v>841</v>
      </c>
    </row>
    <row r="545" spans="1:14" x14ac:dyDescent="0.25">
      <c r="A545" s="45">
        <v>1251</v>
      </c>
      <c r="B545" s="50" t="s">
        <v>842</v>
      </c>
      <c r="C545" s="59">
        <f t="shared" si="31"/>
        <v>43907</v>
      </c>
      <c r="D545" s="49" t="str">
        <f t="shared" si="29"/>
        <v>M</v>
      </c>
      <c r="E545" s="63">
        <f t="shared" si="30"/>
        <v>12</v>
      </c>
      <c r="F545" s="45" t="s">
        <v>76</v>
      </c>
      <c r="G545" s="53">
        <v>5</v>
      </c>
      <c r="H545" s="53">
        <v>7</v>
      </c>
      <c r="I545" s="53">
        <v>16</v>
      </c>
      <c r="J545" s="53">
        <v>8</v>
      </c>
      <c r="K545" s="53">
        <v>20</v>
      </c>
      <c r="L545" s="53">
        <v>12</v>
      </c>
      <c r="M545" s="53">
        <v>2</v>
      </c>
      <c r="N545" s="60" t="s">
        <v>843</v>
      </c>
    </row>
    <row r="546" spans="1:14" x14ac:dyDescent="0.25">
      <c r="A546" s="45">
        <v>1252</v>
      </c>
      <c r="B546" s="50" t="s">
        <v>844</v>
      </c>
      <c r="C546" s="59">
        <f t="shared" si="31"/>
        <v>43910</v>
      </c>
      <c r="D546" s="49" t="str">
        <f t="shared" ref="D546:D556" si="32">CHOOSE(WEEKDAY(C546),"D","L","M","X","J","V","S")</f>
        <v>V</v>
      </c>
      <c r="E546" s="63">
        <f t="shared" ref="E546:E556" si="33">WEEKNUM(C546,21)</f>
        <v>12</v>
      </c>
      <c r="F546" s="45" t="s">
        <v>76</v>
      </c>
      <c r="G546" s="53">
        <v>40</v>
      </c>
      <c r="H546" s="53">
        <v>9</v>
      </c>
      <c r="I546" s="53">
        <v>20</v>
      </c>
      <c r="J546" s="53">
        <v>34</v>
      </c>
      <c r="K546" s="53">
        <v>3</v>
      </c>
      <c r="L546" s="53">
        <v>6</v>
      </c>
      <c r="M546" s="53">
        <v>12</v>
      </c>
      <c r="N546" s="60" t="s">
        <v>845</v>
      </c>
    </row>
    <row r="547" spans="1:14" x14ac:dyDescent="0.25">
      <c r="A547" s="45">
        <v>1253</v>
      </c>
      <c r="B547" s="50" t="s">
        <v>846</v>
      </c>
      <c r="C547" s="59">
        <v>43970</v>
      </c>
      <c r="D547" s="49" t="str">
        <f t="shared" si="32"/>
        <v>M</v>
      </c>
      <c r="E547" s="63">
        <f t="shared" si="33"/>
        <v>21</v>
      </c>
      <c r="F547" s="45" t="s">
        <v>76</v>
      </c>
      <c r="G547" s="53">
        <v>43</v>
      </c>
      <c r="H547" s="53">
        <v>32</v>
      </c>
      <c r="I547" s="53">
        <v>37</v>
      </c>
      <c r="J547" s="53">
        <v>25</v>
      </c>
      <c r="K547" s="53">
        <v>5</v>
      </c>
      <c r="L547" s="53">
        <v>6</v>
      </c>
      <c r="M547" s="53">
        <v>7</v>
      </c>
      <c r="N547" s="60" t="s">
        <v>847</v>
      </c>
    </row>
    <row r="548" spans="1:14" x14ac:dyDescent="0.25">
      <c r="A548" s="45">
        <v>1254</v>
      </c>
      <c r="B548" s="50" t="s">
        <v>848</v>
      </c>
      <c r="C548" s="59">
        <v>43973</v>
      </c>
      <c r="D548" s="49" t="str">
        <f t="shared" si="32"/>
        <v>V</v>
      </c>
      <c r="E548" s="63">
        <f t="shared" si="33"/>
        <v>21</v>
      </c>
      <c r="F548" s="45" t="s">
        <v>76</v>
      </c>
      <c r="G548" s="53">
        <v>18</v>
      </c>
      <c r="H548" s="53">
        <v>22</v>
      </c>
      <c r="I548" s="53">
        <v>32</v>
      </c>
      <c r="J548" s="53">
        <v>3</v>
      </c>
      <c r="K548" s="53">
        <v>27</v>
      </c>
      <c r="L548" s="53">
        <v>2</v>
      </c>
      <c r="M548" s="53">
        <v>7</v>
      </c>
      <c r="N548" s="60" t="s">
        <v>849</v>
      </c>
    </row>
    <row r="549" spans="1:14" x14ac:dyDescent="0.25">
      <c r="A549" s="45">
        <v>1255</v>
      </c>
      <c r="B549" s="50" t="s">
        <v>850</v>
      </c>
      <c r="C549" s="59">
        <v>43977</v>
      </c>
      <c r="D549" s="49" t="str">
        <f t="shared" si="32"/>
        <v>M</v>
      </c>
      <c r="E549" s="63">
        <f t="shared" si="33"/>
        <v>22</v>
      </c>
      <c r="F549" s="45" t="s">
        <v>76</v>
      </c>
      <c r="G549" s="53">
        <v>9</v>
      </c>
      <c r="H549" s="53">
        <v>4</v>
      </c>
      <c r="I549" s="53">
        <v>27</v>
      </c>
      <c r="J549" s="53">
        <v>14</v>
      </c>
      <c r="K549" s="53">
        <v>21</v>
      </c>
      <c r="L549" s="53">
        <v>4</v>
      </c>
      <c r="M549" s="53">
        <v>6</v>
      </c>
      <c r="N549" s="60" t="s">
        <v>851</v>
      </c>
    </row>
    <row r="550" spans="1:14" x14ac:dyDescent="0.25">
      <c r="A550" s="45">
        <v>1256</v>
      </c>
      <c r="B550" s="50" t="s">
        <v>852</v>
      </c>
      <c r="C550" s="59">
        <v>43980</v>
      </c>
      <c r="D550" s="49" t="str">
        <f t="shared" si="32"/>
        <v>V</v>
      </c>
      <c r="E550" s="63">
        <f t="shared" si="33"/>
        <v>22</v>
      </c>
      <c r="F550" s="45" t="s">
        <v>76</v>
      </c>
      <c r="G550" s="53">
        <v>4</v>
      </c>
      <c r="H550" s="53">
        <v>11</v>
      </c>
      <c r="I550" s="53">
        <v>8</v>
      </c>
      <c r="J550" s="53">
        <v>46</v>
      </c>
      <c r="K550" s="53">
        <v>19</v>
      </c>
      <c r="L550" s="53">
        <v>4</v>
      </c>
      <c r="M550" s="53">
        <v>8</v>
      </c>
      <c r="N550" s="60" t="s">
        <v>853</v>
      </c>
    </row>
    <row r="551" spans="1:14" x14ac:dyDescent="0.25">
      <c r="A551" s="45">
        <v>1257</v>
      </c>
      <c r="B551" s="50" t="s">
        <v>854</v>
      </c>
      <c r="C551" s="59">
        <v>43984</v>
      </c>
      <c r="D551" s="49" t="str">
        <f t="shared" si="32"/>
        <v>M</v>
      </c>
      <c r="E551" s="63">
        <f t="shared" si="33"/>
        <v>23</v>
      </c>
      <c r="F551" s="45" t="s">
        <v>76</v>
      </c>
      <c r="G551" s="53">
        <v>49</v>
      </c>
      <c r="H551" s="53">
        <v>22</v>
      </c>
      <c r="I551" s="53">
        <v>12</v>
      </c>
      <c r="J551" s="53">
        <v>26</v>
      </c>
      <c r="K551" s="53">
        <v>10</v>
      </c>
      <c r="L551" s="53">
        <v>11</v>
      </c>
      <c r="M551" s="53">
        <v>7</v>
      </c>
      <c r="N551" s="60" t="s">
        <v>855</v>
      </c>
    </row>
    <row r="552" spans="1:14" x14ac:dyDescent="0.25">
      <c r="A552" s="45">
        <v>1258</v>
      </c>
      <c r="B552" s="50" t="s">
        <v>856</v>
      </c>
      <c r="C552" s="59">
        <v>43987</v>
      </c>
      <c r="D552" s="49" t="str">
        <f t="shared" si="32"/>
        <v>V</v>
      </c>
      <c r="E552" s="63">
        <f t="shared" si="33"/>
        <v>23</v>
      </c>
      <c r="F552" s="45" t="s">
        <v>76</v>
      </c>
      <c r="G552" s="53">
        <v>24</v>
      </c>
      <c r="H552" s="53">
        <v>11</v>
      </c>
      <c r="I552" s="53">
        <v>37</v>
      </c>
      <c r="J552" s="53">
        <v>17</v>
      </c>
      <c r="K552" s="53">
        <v>5</v>
      </c>
      <c r="L552" s="53">
        <v>6</v>
      </c>
      <c r="M552" s="53">
        <v>3</v>
      </c>
      <c r="N552" s="60" t="s">
        <v>857</v>
      </c>
    </row>
    <row r="553" spans="1:14" x14ac:dyDescent="0.25">
      <c r="A553" s="45">
        <v>1259</v>
      </c>
      <c r="B553" s="50" t="s">
        <v>858</v>
      </c>
      <c r="C553" s="59">
        <v>43991</v>
      </c>
      <c r="D553" s="49" t="str">
        <f t="shared" si="32"/>
        <v>M</v>
      </c>
      <c r="E553" s="63">
        <f t="shared" si="33"/>
        <v>24</v>
      </c>
      <c r="F553" s="45" t="s">
        <v>76</v>
      </c>
      <c r="G553" s="53">
        <v>46</v>
      </c>
      <c r="H553" s="53">
        <v>36</v>
      </c>
      <c r="I553" s="53">
        <v>27</v>
      </c>
      <c r="J553" s="53">
        <v>5</v>
      </c>
      <c r="K553" s="53">
        <v>15</v>
      </c>
      <c r="L553" s="53">
        <v>8</v>
      </c>
      <c r="M553" s="53">
        <v>2</v>
      </c>
      <c r="N553" s="60" t="s">
        <v>859</v>
      </c>
    </row>
    <row r="554" spans="1:14" x14ac:dyDescent="0.25">
      <c r="A554" s="45">
        <v>1260</v>
      </c>
      <c r="B554" s="50" t="s">
        <v>860</v>
      </c>
      <c r="C554" s="59">
        <v>43994</v>
      </c>
      <c r="D554" s="49" t="str">
        <f t="shared" si="32"/>
        <v>V</v>
      </c>
      <c r="E554" s="63">
        <f t="shared" si="33"/>
        <v>24</v>
      </c>
      <c r="F554" s="45" t="s">
        <v>76</v>
      </c>
      <c r="G554" s="53">
        <v>24</v>
      </c>
      <c r="H554" s="53">
        <v>39</v>
      </c>
      <c r="I554" s="53">
        <v>46</v>
      </c>
      <c r="J554" s="53">
        <v>2</v>
      </c>
      <c r="K554" s="53">
        <v>45</v>
      </c>
      <c r="L554" s="53">
        <v>4</v>
      </c>
      <c r="M554" s="53">
        <v>8</v>
      </c>
      <c r="N554" s="60" t="s">
        <v>861</v>
      </c>
    </row>
    <row r="555" spans="1:14" x14ac:dyDescent="0.25">
      <c r="A555" s="45">
        <v>1261</v>
      </c>
      <c r="B555" s="50" t="s">
        <v>862</v>
      </c>
      <c r="C555" s="59">
        <v>43998</v>
      </c>
      <c r="D555" s="49" t="str">
        <f t="shared" si="32"/>
        <v>M</v>
      </c>
      <c r="E555" s="63">
        <f t="shared" si="33"/>
        <v>25</v>
      </c>
      <c r="F555" s="45" t="s">
        <v>76</v>
      </c>
      <c r="G555" s="53">
        <v>39</v>
      </c>
      <c r="H555" s="53">
        <v>9</v>
      </c>
      <c r="I555" s="53">
        <v>11</v>
      </c>
      <c r="J555" s="53">
        <v>4</v>
      </c>
      <c r="K555" s="53">
        <v>17</v>
      </c>
      <c r="L555" s="53">
        <v>2</v>
      </c>
      <c r="M555" s="53">
        <v>10</v>
      </c>
      <c r="N555" s="60" t="s">
        <v>863</v>
      </c>
    </row>
    <row r="556" spans="1:14" x14ac:dyDescent="0.25">
      <c r="A556" s="45">
        <v>1262</v>
      </c>
      <c r="B556" s="50" t="s">
        <v>869</v>
      </c>
      <c r="C556" s="59">
        <v>44001</v>
      </c>
      <c r="D556" s="49" t="str">
        <f t="shared" si="32"/>
        <v>V</v>
      </c>
      <c r="E556" s="63">
        <f t="shared" si="33"/>
        <v>25</v>
      </c>
      <c r="F556" s="45" t="s">
        <v>76</v>
      </c>
      <c r="G556" s="53">
        <v>14</v>
      </c>
      <c r="H556" s="53">
        <v>5</v>
      </c>
      <c r="I556" s="53">
        <v>24</v>
      </c>
      <c r="J556" s="53">
        <v>43</v>
      </c>
      <c r="K556" s="53">
        <v>19</v>
      </c>
      <c r="L556" s="53">
        <v>3</v>
      </c>
      <c r="M556" s="53">
        <v>11</v>
      </c>
      <c r="N556" s="60" t="s">
        <v>924</v>
      </c>
    </row>
    <row r="557" spans="1:14" x14ac:dyDescent="0.25">
      <c r="A557" s="45">
        <v>1263</v>
      </c>
      <c r="B557" s="50" t="s">
        <v>918</v>
      </c>
      <c r="C557" s="59">
        <v>44005</v>
      </c>
      <c r="D557" s="49" t="str">
        <f t="shared" ref="D557:D561" si="34">CHOOSE(WEEKDAY(C557),"D","L","M","X","J","V","S")</f>
        <v>M</v>
      </c>
      <c r="E557" s="63">
        <f t="shared" ref="E557:E561" si="35">WEEKNUM(C557,21)</f>
        <v>26</v>
      </c>
      <c r="F557" s="45" t="s">
        <v>76</v>
      </c>
      <c r="G557" s="53">
        <v>19</v>
      </c>
      <c r="H557" s="53">
        <v>46</v>
      </c>
      <c r="I557" s="53">
        <v>49</v>
      </c>
      <c r="J557" s="53">
        <v>12</v>
      </c>
      <c r="K557" s="53">
        <v>2</v>
      </c>
      <c r="L557" s="53">
        <v>8</v>
      </c>
      <c r="M557" s="53">
        <v>1</v>
      </c>
      <c r="N557" s="60" t="s">
        <v>870</v>
      </c>
    </row>
    <row r="558" spans="1:14" x14ac:dyDescent="0.25">
      <c r="A558" s="45">
        <v>1264</v>
      </c>
      <c r="B558" s="50" t="s">
        <v>919</v>
      </c>
      <c r="C558" s="59">
        <v>44008</v>
      </c>
      <c r="D558" s="49" t="str">
        <f t="shared" si="34"/>
        <v>V</v>
      </c>
      <c r="E558" s="63">
        <f t="shared" si="35"/>
        <v>26</v>
      </c>
      <c r="F558" s="45" t="s">
        <v>76</v>
      </c>
      <c r="G558" s="53">
        <v>12</v>
      </c>
      <c r="H558" s="53">
        <v>26</v>
      </c>
      <c r="I558" s="53">
        <v>21</v>
      </c>
      <c r="J558" s="53">
        <v>1</v>
      </c>
      <c r="K558" s="53">
        <v>10</v>
      </c>
      <c r="L558" s="53">
        <v>5</v>
      </c>
      <c r="M558" s="53">
        <v>11</v>
      </c>
      <c r="N558" s="60" t="s">
        <v>925</v>
      </c>
    </row>
    <row r="559" spans="1:14" x14ac:dyDescent="0.25">
      <c r="A559" s="45">
        <v>1265</v>
      </c>
      <c r="B559" s="50" t="s">
        <v>920</v>
      </c>
      <c r="C559" s="59">
        <v>44012</v>
      </c>
      <c r="D559" s="49" t="str">
        <f t="shared" si="34"/>
        <v>M</v>
      </c>
      <c r="E559" s="63">
        <f t="shared" si="35"/>
        <v>27</v>
      </c>
      <c r="F559" s="45" t="s">
        <v>76</v>
      </c>
      <c r="G559" s="53">
        <v>11</v>
      </c>
      <c r="H559" s="53">
        <v>42</v>
      </c>
      <c r="I559" s="53">
        <v>1</v>
      </c>
      <c r="J559" s="53">
        <v>28</v>
      </c>
      <c r="K559" s="53">
        <v>6</v>
      </c>
      <c r="L559" s="53">
        <v>2</v>
      </c>
      <c r="M559" s="53">
        <v>10</v>
      </c>
      <c r="N559" s="60" t="s">
        <v>926</v>
      </c>
    </row>
    <row r="560" spans="1:14" x14ac:dyDescent="0.25">
      <c r="A560" s="45">
        <v>1266</v>
      </c>
      <c r="B560" s="50" t="s">
        <v>921</v>
      </c>
      <c r="C560" s="59">
        <v>44015</v>
      </c>
      <c r="D560" s="49" t="str">
        <f t="shared" si="34"/>
        <v>V</v>
      </c>
      <c r="E560" s="63">
        <f t="shared" si="35"/>
        <v>27</v>
      </c>
      <c r="F560" s="45" t="s">
        <v>76</v>
      </c>
      <c r="G560" s="53">
        <v>27</v>
      </c>
      <c r="H560" s="53">
        <v>4</v>
      </c>
      <c r="I560" s="53">
        <v>16</v>
      </c>
      <c r="J560" s="53">
        <v>39</v>
      </c>
      <c r="K560" s="53">
        <v>37</v>
      </c>
      <c r="L560" s="53">
        <v>3</v>
      </c>
      <c r="M560" s="53">
        <v>6</v>
      </c>
      <c r="N560" s="60" t="s">
        <v>927</v>
      </c>
    </row>
    <row r="561" spans="1:14" x14ac:dyDescent="0.25">
      <c r="A561" s="45">
        <v>1267</v>
      </c>
      <c r="B561" s="50" t="s">
        <v>922</v>
      </c>
      <c r="C561" s="59">
        <v>44019</v>
      </c>
      <c r="D561" s="49" t="str">
        <f t="shared" si="34"/>
        <v>M</v>
      </c>
      <c r="E561" s="63">
        <f t="shared" si="35"/>
        <v>28</v>
      </c>
      <c r="F561" s="45" t="s">
        <v>76</v>
      </c>
      <c r="G561" s="53">
        <v>41</v>
      </c>
      <c r="H561" s="53">
        <v>33</v>
      </c>
      <c r="I561" s="53">
        <v>23</v>
      </c>
      <c r="J561" s="53">
        <v>12</v>
      </c>
      <c r="K561" s="53">
        <v>16</v>
      </c>
      <c r="L561" s="53">
        <v>8</v>
      </c>
      <c r="M561" s="53">
        <v>10</v>
      </c>
      <c r="N561" s="60" t="s">
        <v>928</v>
      </c>
    </row>
    <row r="562" spans="1:14" x14ac:dyDescent="0.25">
      <c r="A562" s="45">
        <v>1268</v>
      </c>
      <c r="B562" s="50" t="s">
        <v>923</v>
      </c>
      <c r="C562" s="59">
        <v>44022</v>
      </c>
      <c r="D562" s="49" t="str">
        <f>CHOOSE(WEEKDAY(C562),"D","L","M","X","J","V","S")</f>
        <v>V</v>
      </c>
      <c r="E562" s="63">
        <f>WEEKNUM(C562,21)</f>
        <v>28</v>
      </c>
      <c r="F562" s="45" t="s">
        <v>76</v>
      </c>
      <c r="G562" s="53">
        <v>30</v>
      </c>
      <c r="H562" s="53">
        <v>38</v>
      </c>
      <c r="I562" s="53">
        <v>15</v>
      </c>
      <c r="J562" s="53">
        <v>17</v>
      </c>
      <c r="K562" s="53">
        <v>23</v>
      </c>
      <c r="L562" s="53">
        <v>2</v>
      </c>
      <c r="M562" s="53">
        <v>7</v>
      </c>
      <c r="N562" s="60" t="s">
        <v>929</v>
      </c>
    </row>
    <row r="563" spans="1:14" x14ac:dyDescent="0.25">
      <c r="A563" s="45">
        <v>1269</v>
      </c>
      <c r="B563" s="50" t="s">
        <v>930</v>
      </c>
      <c r="C563" s="59">
        <v>44026</v>
      </c>
      <c r="D563" s="49" t="str">
        <f t="shared" ref="D563:D570" si="36">CHOOSE(WEEKDAY(C563),"D","L","M","X","J","V","S")</f>
        <v>M</v>
      </c>
      <c r="E563" s="63">
        <f t="shared" ref="E563:E570" si="37">WEEKNUM(C563,21)</f>
        <v>29</v>
      </c>
      <c r="F563" s="45" t="s">
        <v>76</v>
      </c>
      <c r="G563" s="53">
        <v>30</v>
      </c>
      <c r="H563" s="53">
        <v>22</v>
      </c>
      <c r="I563" s="53">
        <v>37</v>
      </c>
      <c r="J563" s="53">
        <v>11</v>
      </c>
      <c r="K563" s="53">
        <v>47</v>
      </c>
      <c r="L563" s="53">
        <v>9</v>
      </c>
      <c r="M563" s="53">
        <v>10</v>
      </c>
      <c r="N563" s="60" t="s">
        <v>938</v>
      </c>
    </row>
    <row r="564" spans="1:14" x14ac:dyDescent="0.25">
      <c r="A564" s="45">
        <v>1270</v>
      </c>
      <c r="B564" s="50" t="s">
        <v>931</v>
      </c>
      <c r="C564" s="59">
        <v>44029</v>
      </c>
      <c r="D564" s="49" t="str">
        <f t="shared" si="36"/>
        <v>V</v>
      </c>
      <c r="E564" s="63">
        <f t="shared" si="37"/>
        <v>29</v>
      </c>
      <c r="F564" s="45" t="s">
        <v>76</v>
      </c>
      <c r="G564" s="53">
        <v>7</v>
      </c>
      <c r="H564" s="53">
        <v>27</v>
      </c>
      <c r="I564" s="53">
        <v>41</v>
      </c>
      <c r="J564" s="53">
        <v>15</v>
      </c>
      <c r="K564" s="53">
        <v>43</v>
      </c>
      <c r="L564" s="53">
        <v>7</v>
      </c>
      <c r="M564" s="53">
        <v>9</v>
      </c>
      <c r="N564" s="60" t="s">
        <v>939</v>
      </c>
    </row>
    <row r="565" spans="1:14" x14ac:dyDescent="0.25">
      <c r="A565" s="45">
        <v>1271</v>
      </c>
      <c r="B565" s="50" t="s">
        <v>932</v>
      </c>
      <c r="C565" s="59">
        <v>44033</v>
      </c>
      <c r="D565" s="49" t="str">
        <f t="shared" si="36"/>
        <v>M</v>
      </c>
      <c r="E565" s="63">
        <f t="shared" si="37"/>
        <v>30</v>
      </c>
      <c r="F565" s="45" t="s">
        <v>76</v>
      </c>
      <c r="G565" s="53">
        <v>29</v>
      </c>
      <c r="H565" s="53">
        <v>15</v>
      </c>
      <c r="I565" s="53">
        <v>42</v>
      </c>
      <c r="J565" s="53">
        <v>14</v>
      </c>
      <c r="K565" s="53">
        <v>24</v>
      </c>
      <c r="L565" s="53">
        <v>2</v>
      </c>
      <c r="M565" s="53">
        <v>4</v>
      </c>
      <c r="N565" s="60" t="s">
        <v>940</v>
      </c>
    </row>
    <row r="566" spans="1:14" x14ac:dyDescent="0.25">
      <c r="A566" s="45">
        <v>1272</v>
      </c>
      <c r="B566" s="50" t="s">
        <v>933</v>
      </c>
      <c r="C566" s="59">
        <v>44036</v>
      </c>
      <c r="D566" s="49" t="str">
        <f t="shared" si="36"/>
        <v>V</v>
      </c>
      <c r="E566" s="63">
        <f t="shared" si="37"/>
        <v>30</v>
      </c>
      <c r="F566" s="45" t="s">
        <v>76</v>
      </c>
      <c r="G566" s="53">
        <v>8</v>
      </c>
      <c r="H566" s="53">
        <v>28</v>
      </c>
      <c r="I566" s="53">
        <v>50</v>
      </c>
      <c r="J566" s="53">
        <v>27</v>
      </c>
      <c r="K566" s="53">
        <v>9</v>
      </c>
      <c r="L566" s="53">
        <v>12</v>
      </c>
      <c r="M566" s="53">
        <v>4</v>
      </c>
      <c r="N566" s="60" t="s">
        <v>941</v>
      </c>
    </row>
    <row r="567" spans="1:14" x14ac:dyDescent="0.25">
      <c r="A567" s="45">
        <v>1273</v>
      </c>
      <c r="B567" s="50" t="s">
        <v>934</v>
      </c>
      <c r="C567" s="59">
        <v>44040</v>
      </c>
      <c r="D567" s="49" t="str">
        <f t="shared" si="36"/>
        <v>M</v>
      </c>
      <c r="E567" s="63">
        <f t="shared" si="37"/>
        <v>31</v>
      </c>
      <c r="F567" s="45" t="s">
        <v>76</v>
      </c>
      <c r="G567" s="53">
        <v>34</v>
      </c>
      <c r="H567" s="53">
        <v>17</v>
      </c>
      <c r="I567" s="53">
        <v>13</v>
      </c>
      <c r="J567" s="53">
        <v>9</v>
      </c>
      <c r="K567" s="53">
        <v>15</v>
      </c>
      <c r="L567" s="53">
        <v>7</v>
      </c>
      <c r="M567" s="53">
        <v>2</v>
      </c>
      <c r="N567" s="60" t="s">
        <v>942</v>
      </c>
    </row>
    <row r="568" spans="1:14" x14ac:dyDescent="0.25">
      <c r="A568" s="45">
        <v>1274</v>
      </c>
      <c r="B568" s="50" t="s">
        <v>935</v>
      </c>
      <c r="C568" s="59">
        <v>44043</v>
      </c>
      <c r="D568" s="49" t="str">
        <f t="shared" si="36"/>
        <v>V</v>
      </c>
      <c r="E568" s="63">
        <f t="shared" si="37"/>
        <v>31</v>
      </c>
      <c r="F568" s="45" t="s">
        <v>76</v>
      </c>
      <c r="G568" s="53">
        <v>30</v>
      </c>
      <c r="H568" s="53">
        <v>46</v>
      </c>
      <c r="I568" s="53">
        <v>24</v>
      </c>
      <c r="J568" s="53">
        <v>21</v>
      </c>
      <c r="K568" s="53">
        <v>49</v>
      </c>
      <c r="L568" s="53">
        <v>2</v>
      </c>
      <c r="M568" s="53">
        <v>5</v>
      </c>
      <c r="N568" s="60" t="s">
        <v>943</v>
      </c>
    </row>
    <row r="569" spans="1:14" x14ac:dyDescent="0.25">
      <c r="A569" s="45">
        <v>1275</v>
      </c>
      <c r="B569" s="50" t="s">
        <v>936</v>
      </c>
      <c r="C569" s="59">
        <v>44047</v>
      </c>
      <c r="D569" s="49" t="str">
        <f t="shared" si="36"/>
        <v>M</v>
      </c>
      <c r="E569" s="63">
        <f t="shared" si="37"/>
        <v>32</v>
      </c>
      <c r="F569" s="45" t="s">
        <v>76</v>
      </c>
      <c r="G569" s="53">
        <v>42</v>
      </c>
      <c r="H569" s="53">
        <v>2</v>
      </c>
      <c r="I569" s="53">
        <v>5</v>
      </c>
      <c r="J569" s="53">
        <v>1</v>
      </c>
      <c r="K569" s="53">
        <v>15</v>
      </c>
      <c r="L569" s="53">
        <v>8</v>
      </c>
      <c r="M569" s="53">
        <v>5</v>
      </c>
      <c r="N569" s="60" t="s">
        <v>944</v>
      </c>
    </row>
    <row r="570" spans="1:14" x14ac:dyDescent="0.25">
      <c r="A570" s="45">
        <v>1276</v>
      </c>
      <c r="B570" s="50" t="s">
        <v>937</v>
      </c>
      <c r="C570" s="59">
        <v>44050</v>
      </c>
      <c r="D570" s="49" t="str">
        <f t="shared" si="36"/>
        <v>V</v>
      </c>
      <c r="E570" s="63">
        <f t="shared" si="37"/>
        <v>32</v>
      </c>
      <c r="F570" s="45" t="s">
        <v>76</v>
      </c>
      <c r="G570" s="53">
        <v>36</v>
      </c>
      <c r="H570" s="53">
        <v>20</v>
      </c>
      <c r="I570" s="53">
        <v>5</v>
      </c>
      <c r="J570" s="53">
        <v>41</v>
      </c>
      <c r="K570" s="53">
        <v>21</v>
      </c>
      <c r="L570" s="53">
        <v>11</v>
      </c>
      <c r="M570" s="53">
        <v>6</v>
      </c>
      <c r="N570" s="60" t="s">
        <v>945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83402-2676-4FFC-8875-BB734D2B3CDE}">
  <sheetPr codeName="Hoja6"/>
  <dimension ref="A1:P48"/>
  <sheetViews>
    <sheetView topLeftCell="A25" zoomScale="130" zoomScaleNormal="130" zoomScaleSheetLayoutView="115" zoomScalePageLayoutView="120" workbookViewId="0">
      <selection activeCell="D47" sqref="D47"/>
    </sheetView>
  </sheetViews>
  <sheetFormatPr baseColWidth="10" defaultColWidth="11.42578125" defaultRowHeight="13.5" customHeight="1" x14ac:dyDescent="0.25"/>
  <cols>
    <col min="1" max="1" width="5" style="3" bestFit="1" customWidth="1"/>
    <col min="2" max="2" width="7.42578125" style="3" bestFit="1" customWidth="1"/>
    <col min="3" max="3" width="8.85546875" style="3" bestFit="1" customWidth="1"/>
    <col min="4" max="4" width="10.140625" style="3" bestFit="1" customWidth="1"/>
    <col min="5" max="5" width="14.42578125" style="3" bestFit="1" customWidth="1"/>
    <col min="6" max="6" width="11.42578125" style="3" bestFit="1" customWidth="1"/>
    <col min="7" max="7" width="12.140625" style="3" bestFit="1" customWidth="1"/>
    <col min="8" max="8" width="10.7109375" style="3" bestFit="1" customWidth="1"/>
    <col min="9" max="9" width="8.28515625" style="3" bestFit="1" customWidth="1"/>
    <col min="10" max="10" width="11.42578125" style="3" bestFit="1" customWidth="1"/>
    <col min="11" max="11" width="8.28515625" style="3" bestFit="1" customWidth="1"/>
    <col min="12" max="12" width="18.85546875" style="3" bestFit="1" customWidth="1"/>
    <col min="13" max="13" width="10.7109375" style="3" bestFit="1" customWidth="1"/>
    <col min="14" max="14" width="13" style="3" bestFit="1" customWidth="1"/>
    <col min="15" max="15" width="6.28515625" style="3" bestFit="1" customWidth="1"/>
    <col min="16" max="16" width="8.28515625" style="3" bestFit="1" customWidth="1"/>
    <col min="17" max="16384" width="11.42578125" style="3"/>
  </cols>
  <sheetData>
    <row r="1" spans="1:16" ht="13.5" customHeight="1" x14ac:dyDescent="0.25">
      <c r="A1" s="1" t="s">
        <v>9</v>
      </c>
      <c r="B1" s="1" t="s">
        <v>3</v>
      </c>
      <c r="C1" s="2" t="s">
        <v>10</v>
      </c>
      <c r="D1" s="2" t="s">
        <v>1</v>
      </c>
      <c r="E1" s="2" t="s">
        <v>11</v>
      </c>
      <c r="F1" s="2" t="s">
        <v>12</v>
      </c>
      <c r="G1" s="2" t="s">
        <v>13</v>
      </c>
      <c r="H1" s="2" t="s">
        <v>74</v>
      </c>
      <c r="I1" s="2" t="s">
        <v>868</v>
      </c>
      <c r="J1" s="2" t="s">
        <v>14</v>
      </c>
      <c r="K1" s="2" t="s">
        <v>15</v>
      </c>
      <c r="L1" s="2" t="s">
        <v>914</v>
      </c>
      <c r="M1" s="2" t="s">
        <v>16</v>
      </c>
      <c r="N1" s="2" t="s">
        <v>17</v>
      </c>
      <c r="O1" s="2" t="s">
        <v>2</v>
      </c>
      <c r="P1" s="2" t="s">
        <v>18</v>
      </c>
    </row>
    <row r="2" spans="1:16" ht="13.5" customHeight="1" x14ac:dyDescent="0.25">
      <c r="A2" s="4">
        <v>1</v>
      </c>
      <c r="B2" s="5">
        <f>WEEKNUM(D2,21)</f>
        <v>1</v>
      </c>
      <c r="C2" s="6" t="s">
        <v>864</v>
      </c>
      <c r="D2" s="7">
        <v>43833</v>
      </c>
      <c r="E2" s="5"/>
      <c r="F2" s="8" t="s">
        <v>880</v>
      </c>
      <c r="G2" s="5"/>
      <c r="H2" s="5" t="s">
        <v>881</v>
      </c>
      <c r="I2" s="5"/>
      <c r="J2" s="8">
        <v>1</v>
      </c>
      <c r="K2" s="9">
        <f>IF(C2="GP",J2*1.5,IF(C2="LP",J2*1,IF(C2="EU",J2*2.5,J2*0.5)))</f>
        <v>2.5</v>
      </c>
      <c r="L2" s="9"/>
      <c r="M2" s="10">
        <v>0</v>
      </c>
      <c r="N2" s="10"/>
      <c r="O2" s="5" t="str">
        <f>CHOOSE(WEEKDAY(D2),"D","L","M","X","J","V","S")</f>
        <v>V</v>
      </c>
      <c r="P2" s="5"/>
    </row>
    <row r="3" spans="1:16" ht="13.5" customHeight="1" x14ac:dyDescent="0.25">
      <c r="A3" s="4">
        <v>2</v>
      </c>
      <c r="B3" s="64">
        <f t="shared" ref="B3:B34" si="0">WEEKNUM(D3,21)</f>
        <v>2</v>
      </c>
      <c r="C3" s="6" t="s">
        <v>864</v>
      </c>
      <c r="D3" s="7">
        <v>43837</v>
      </c>
      <c r="E3" s="64"/>
      <c r="F3" s="8" t="s">
        <v>880</v>
      </c>
      <c r="G3" s="64"/>
      <c r="H3" s="5" t="s">
        <v>882</v>
      </c>
      <c r="I3" s="5"/>
      <c r="J3" s="8">
        <v>1</v>
      </c>
      <c r="K3" s="9">
        <f t="shared" ref="K3:K34" si="1">IF(C3="GP",J3*1.5,IF(C3="LP",J3*1,IF(C3="EU",J3*2.5,J3*0.5)))</f>
        <v>2.5</v>
      </c>
      <c r="L3" s="9"/>
      <c r="M3" s="65">
        <v>0</v>
      </c>
      <c r="N3" s="65"/>
      <c r="O3" s="64" t="str">
        <f t="shared" ref="O3:O34" si="2">CHOOSE(WEEKDAY(D3),"D","L","M","X","J","V","S")</f>
        <v>M</v>
      </c>
      <c r="P3" s="64"/>
    </row>
    <row r="4" spans="1:16" ht="13.5" customHeight="1" x14ac:dyDescent="0.25">
      <c r="A4" s="4">
        <v>3</v>
      </c>
      <c r="B4" s="64">
        <f t="shared" si="0"/>
        <v>2</v>
      </c>
      <c r="C4" s="6" t="s">
        <v>864</v>
      </c>
      <c r="D4" s="7">
        <v>43840</v>
      </c>
      <c r="E4" s="64"/>
      <c r="F4" s="8" t="s">
        <v>880</v>
      </c>
      <c r="G4" s="64"/>
      <c r="H4" s="5" t="s">
        <v>883</v>
      </c>
      <c r="I4" s="5"/>
      <c r="J4" s="8">
        <v>1</v>
      </c>
      <c r="K4" s="9">
        <f t="shared" si="1"/>
        <v>2.5</v>
      </c>
      <c r="L4" s="9" t="s">
        <v>915</v>
      </c>
      <c r="M4" s="65">
        <v>8.06</v>
      </c>
      <c r="N4" s="65"/>
      <c r="O4" s="64" t="str">
        <f t="shared" si="2"/>
        <v>V</v>
      </c>
      <c r="P4" s="64"/>
    </row>
    <row r="5" spans="1:16" ht="13.5" customHeight="1" x14ac:dyDescent="0.25">
      <c r="A5" s="4">
        <v>4</v>
      </c>
      <c r="B5" s="64">
        <f t="shared" si="0"/>
        <v>3</v>
      </c>
      <c r="C5" s="6" t="s">
        <v>864</v>
      </c>
      <c r="D5" s="7">
        <v>43844</v>
      </c>
      <c r="E5" s="64"/>
      <c r="F5" s="8" t="s">
        <v>880</v>
      </c>
      <c r="G5" s="64"/>
      <c r="H5" s="5" t="s">
        <v>884</v>
      </c>
      <c r="I5" s="5"/>
      <c r="J5" s="8">
        <v>1</v>
      </c>
      <c r="K5" s="9">
        <f t="shared" si="1"/>
        <v>2.5</v>
      </c>
      <c r="L5" s="9"/>
      <c r="M5" s="65">
        <v>0</v>
      </c>
      <c r="N5" s="65"/>
      <c r="O5" s="64" t="str">
        <f t="shared" si="2"/>
        <v>M</v>
      </c>
      <c r="P5" s="64"/>
    </row>
    <row r="6" spans="1:16" ht="13.5" customHeight="1" x14ac:dyDescent="0.25">
      <c r="A6" s="4">
        <v>5</v>
      </c>
      <c r="B6" s="64">
        <f t="shared" si="0"/>
        <v>3</v>
      </c>
      <c r="C6" s="6" t="s">
        <v>864</v>
      </c>
      <c r="D6" s="7">
        <v>43847</v>
      </c>
      <c r="E6" s="64"/>
      <c r="F6" s="8" t="s">
        <v>880</v>
      </c>
      <c r="G6" s="64"/>
      <c r="H6" s="5" t="s">
        <v>885</v>
      </c>
      <c r="I6" s="5"/>
      <c r="J6" s="8">
        <v>1</v>
      </c>
      <c r="K6" s="9">
        <f t="shared" si="1"/>
        <v>2.5</v>
      </c>
      <c r="L6" s="9"/>
      <c r="M6" s="65">
        <v>0</v>
      </c>
      <c r="N6" s="65"/>
      <c r="O6" s="64" t="str">
        <f t="shared" si="2"/>
        <v>V</v>
      </c>
      <c r="P6" s="64"/>
    </row>
    <row r="7" spans="1:16" ht="13.5" customHeight="1" x14ac:dyDescent="0.25">
      <c r="A7" s="4">
        <v>6</v>
      </c>
      <c r="B7" s="64">
        <f t="shared" si="0"/>
        <v>4</v>
      </c>
      <c r="C7" s="6" t="s">
        <v>864</v>
      </c>
      <c r="D7" s="7">
        <v>43851</v>
      </c>
      <c r="E7" s="64"/>
      <c r="F7" s="8" t="s">
        <v>880</v>
      </c>
      <c r="G7" s="64"/>
      <c r="H7" s="5" t="s">
        <v>886</v>
      </c>
      <c r="I7" s="5"/>
      <c r="J7" s="8">
        <v>1</v>
      </c>
      <c r="K7" s="9">
        <f t="shared" si="1"/>
        <v>2.5</v>
      </c>
      <c r="L7" s="9"/>
      <c r="M7" s="65">
        <v>0</v>
      </c>
      <c r="N7" s="65"/>
      <c r="O7" s="64" t="str">
        <f t="shared" si="2"/>
        <v>M</v>
      </c>
      <c r="P7" s="64"/>
    </row>
    <row r="8" spans="1:16" ht="13.5" customHeight="1" x14ac:dyDescent="0.25">
      <c r="A8" s="4">
        <v>7</v>
      </c>
      <c r="B8" s="64">
        <f t="shared" si="0"/>
        <v>4</v>
      </c>
      <c r="C8" s="6" t="s">
        <v>864</v>
      </c>
      <c r="D8" s="7">
        <v>43854</v>
      </c>
      <c r="E8" s="64"/>
      <c r="F8" s="8" t="s">
        <v>880</v>
      </c>
      <c r="G8" s="64"/>
      <c r="H8" s="5" t="s">
        <v>887</v>
      </c>
      <c r="I8" s="5"/>
      <c r="J8" s="8">
        <v>1</v>
      </c>
      <c r="K8" s="9">
        <f t="shared" si="1"/>
        <v>2.5</v>
      </c>
      <c r="L8" s="9"/>
      <c r="M8" s="65">
        <v>0</v>
      </c>
      <c r="N8" s="65"/>
      <c r="O8" s="64" t="str">
        <f t="shared" si="2"/>
        <v>V</v>
      </c>
      <c r="P8" s="64"/>
    </row>
    <row r="9" spans="1:16" ht="13.5" customHeight="1" x14ac:dyDescent="0.25">
      <c r="A9" s="4">
        <v>8</v>
      </c>
      <c r="B9" s="64">
        <f t="shared" si="0"/>
        <v>5</v>
      </c>
      <c r="C9" s="6" t="s">
        <v>864</v>
      </c>
      <c r="D9" s="7">
        <v>43858</v>
      </c>
      <c r="E9" s="64"/>
      <c r="F9" s="8" t="s">
        <v>880</v>
      </c>
      <c r="G9" s="64"/>
      <c r="H9" s="5" t="s">
        <v>888</v>
      </c>
      <c r="I9" s="5"/>
      <c r="J9" s="8">
        <v>1</v>
      </c>
      <c r="K9" s="9">
        <f t="shared" si="1"/>
        <v>2.5</v>
      </c>
      <c r="L9" s="9"/>
      <c r="M9" s="65">
        <v>0</v>
      </c>
      <c r="N9" s="65"/>
      <c r="O9" s="64" t="str">
        <f t="shared" si="2"/>
        <v>M</v>
      </c>
      <c r="P9" s="64"/>
    </row>
    <row r="10" spans="1:16" ht="13.5" customHeight="1" x14ac:dyDescent="0.25">
      <c r="A10" s="4">
        <v>9</v>
      </c>
      <c r="B10" s="64">
        <f t="shared" si="0"/>
        <v>5</v>
      </c>
      <c r="C10" s="6" t="s">
        <v>864</v>
      </c>
      <c r="D10" s="7">
        <v>43861</v>
      </c>
      <c r="E10" s="64"/>
      <c r="F10" s="8" t="s">
        <v>880</v>
      </c>
      <c r="G10" s="64"/>
      <c r="H10" s="5" t="s">
        <v>889</v>
      </c>
      <c r="I10" s="5"/>
      <c r="J10" s="8">
        <v>1</v>
      </c>
      <c r="K10" s="9">
        <f t="shared" si="1"/>
        <v>2.5</v>
      </c>
      <c r="L10" s="9"/>
      <c r="M10" s="65">
        <v>0</v>
      </c>
      <c r="N10" s="65"/>
      <c r="O10" s="64" t="str">
        <f t="shared" si="2"/>
        <v>V</v>
      </c>
      <c r="P10" s="64"/>
    </row>
    <row r="11" spans="1:16" ht="13.5" customHeight="1" x14ac:dyDescent="0.25">
      <c r="A11" s="4">
        <v>10</v>
      </c>
      <c r="B11" s="64">
        <f t="shared" si="0"/>
        <v>6</v>
      </c>
      <c r="C11" s="6" t="s">
        <v>864</v>
      </c>
      <c r="D11" s="7">
        <v>43865</v>
      </c>
      <c r="E11" s="64"/>
      <c r="F11" s="8" t="s">
        <v>880</v>
      </c>
      <c r="G11" s="64"/>
      <c r="H11" s="5" t="s">
        <v>890</v>
      </c>
      <c r="I11" s="5"/>
      <c r="J11" s="8">
        <v>1</v>
      </c>
      <c r="K11" s="9">
        <f t="shared" si="1"/>
        <v>2.5</v>
      </c>
      <c r="L11" s="9"/>
      <c r="M11" s="65">
        <v>0</v>
      </c>
      <c r="N11" s="65"/>
      <c r="O11" s="64" t="str">
        <f t="shared" si="2"/>
        <v>M</v>
      </c>
      <c r="P11" s="64"/>
    </row>
    <row r="12" spans="1:16" ht="13.5" customHeight="1" x14ac:dyDescent="0.25">
      <c r="A12" s="4">
        <v>11</v>
      </c>
      <c r="B12" s="64">
        <f t="shared" si="0"/>
        <v>6</v>
      </c>
      <c r="C12" s="6" t="s">
        <v>864</v>
      </c>
      <c r="D12" s="7">
        <v>43868</v>
      </c>
      <c r="E12" s="64"/>
      <c r="F12" s="8" t="s">
        <v>880</v>
      </c>
      <c r="G12" s="64"/>
      <c r="H12" s="5" t="s">
        <v>891</v>
      </c>
      <c r="I12" s="5"/>
      <c r="J12" s="8">
        <v>1</v>
      </c>
      <c r="K12" s="9">
        <f t="shared" si="1"/>
        <v>2.5</v>
      </c>
      <c r="L12" s="9"/>
      <c r="M12" s="65">
        <v>0</v>
      </c>
      <c r="N12" s="65"/>
      <c r="O12" s="64" t="str">
        <f t="shared" si="2"/>
        <v>V</v>
      </c>
      <c r="P12" s="64"/>
    </row>
    <row r="13" spans="1:16" ht="13.5" customHeight="1" x14ac:dyDescent="0.25">
      <c r="A13" s="4">
        <v>12</v>
      </c>
      <c r="B13" s="64">
        <f t="shared" si="0"/>
        <v>7</v>
      </c>
      <c r="C13" s="6" t="s">
        <v>864</v>
      </c>
      <c r="D13" s="7">
        <v>43872</v>
      </c>
      <c r="E13" s="64"/>
      <c r="F13" s="8" t="s">
        <v>880</v>
      </c>
      <c r="G13" s="64"/>
      <c r="H13" s="5" t="s">
        <v>892</v>
      </c>
      <c r="I13" s="5"/>
      <c r="J13" s="8">
        <v>1</v>
      </c>
      <c r="K13" s="9">
        <f t="shared" si="1"/>
        <v>2.5</v>
      </c>
      <c r="L13" s="9"/>
      <c r="M13" s="65">
        <v>0</v>
      </c>
      <c r="N13" s="65"/>
      <c r="O13" s="64" t="str">
        <f t="shared" si="2"/>
        <v>M</v>
      </c>
      <c r="P13" s="64"/>
    </row>
    <row r="14" spans="1:16" ht="13.5" customHeight="1" x14ac:dyDescent="0.25">
      <c r="A14" s="4">
        <v>13</v>
      </c>
      <c r="B14" s="64">
        <f t="shared" si="0"/>
        <v>7</v>
      </c>
      <c r="C14" s="6" t="s">
        <v>864</v>
      </c>
      <c r="D14" s="7">
        <v>43875</v>
      </c>
      <c r="E14" s="64"/>
      <c r="F14" s="8" t="s">
        <v>880</v>
      </c>
      <c r="G14" s="64"/>
      <c r="H14" s="5" t="s">
        <v>893</v>
      </c>
      <c r="I14" s="5"/>
      <c r="J14" s="8">
        <v>1</v>
      </c>
      <c r="K14" s="9">
        <f t="shared" si="1"/>
        <v>2.5</v>
      </c>
      <c r="L14" s="9"/>
      <c r="M14" s="65">
        <v>0</v>
      </c>
      <c r="N14" s="65"/>
      <c r="O14" s="64" t="str">
        <f t="shared" si="2"/>
        <v>V</v>
      </c>
      <c r="P14" s="64"/>
    </row>
    <row r="15" spans="1:16" ht="13.5" customHeight="1" x14ac:dyDescent="0.25">
      <c r="A15" s="4">
        <v>14</v>
      </c>
      <c r="B15" s="64">
        <f t="shared" si="0"/>
        <v>8</v>
      </c>
      <c r="C15" s="6" t="s">
        <v>864</v>
      </c>
      <c r="D15" s="7">
        <v>43879</v>
      </c>
      <c r="E15" s="64"/>
      <c r="F15" s="8" t="s">
        <v>880</v>
      </c>
      <c r="G15" s="64"/>
      <c r="H15" s="5" t="s">
        <v>894</v>
      </c>
      <c r="I15" s="5"/>
      <c r="J15" s="8">
        <v>1</v>
      </c>
      <c r="K15" s="9">
        <f t="shared" si="1"/>
        <v>2.5</v>
      </c>
      <c r="L15" s="9"/>
      <c r="M15" s="65">
        <v>0</v>
      </c>
      <c r="N15" s="65"/>
      <c r="O15" s="64" t="str">
        <f t="shared" si="2"/>
        <v>M</v>
      </c>
      <c r="P15" s="64"/>
    </row>
    <row r="16" spans="1:16" ht="13.5" customHeight="1" x14ac:dyDescent="0.25">
      <c r="A16" s="4">
        <v>15</v>
      </c>
      <c r="B16" s="64">
        <f t="shared" si="0"/>
        <v>8</v>
      </c>
      <c r="C16" s="6" t="s">
        <v>864</v>
      </c>
      <c r="D16" s="7">
        <v>43882</v>
      </c>
      <c r="E16" s="64"/>
      <c r="F16" s="8" t="s">
        <v>880</v>
      </c>
      <c r="G16" s="64"/>
      <c r="H16" s="5" t="s">
        <v>895</v>
      </c>
      <c r="I16" s="5"/>
      <c r="J16" s="8">
        <v>1</v>
      </c>
      <c r="K16" s="9">
        <f t="shared" si="1"/>
        <v>2.5</v>
      </c>
      <c r="L16" s="9" t="s">
        <v>916</v>
      </c>
      <c r="M16" s="65">
        <v>4.0199999999999996</v>
      </c>
      <c r="N16" s="65"/>
      <c r="O16" s="64" t="str">
        <f t="shared" si="2"/>
        <v>V</v>
      </c>
      <c r="P16" s="64"/>
    </row>
    <row r="17" spans="1:16" ht="13.5" customHeight="1" x14ac:dyDescent="0.25">
      <c r="A17" s="4">
        <v>16</v>
      </c>
      <c r="B17" s="64">
        <f t="shared" si="0"/>
        <v>9</v>
      </c>
      <c r="C17" s="6" t="s">
        <v>864</v>
      </c>
      <c r="D17" s="7">
        <v>43886</v>
      </c>
      <c r="E17" s="64"/>
      <c r="F17" s="8" t="s">
        <v>880</v>
      </c>
      <c r="G17" s="64"/>
      <c r="H17" s="5" t="s">
        <v>896</v>
      </c>
      <c r="I17" s="5"/>
      <c r="J17" s="8">
        <v>1</v>
      </c>
      <c r="K17" s="9">
        <f t="shared" si="1"/>
        <v>2.5</v>
      </c>
      <c r="L17" s="9"/>
      <c r="M17" s="65">
        <v>0</v>
      </c>
      <c r="N17" s="65"/>
      <c r="O17" s="64" t="str">
        <f t="shared" si="2"/>
        <v>M</v>
      </c>
      <c r="P17" s="64"/>
    </row>
    <row r="18" spans="1:16" ht="13.5" customHeight="1" x14ac:dyDescent="0.25">
      <c r="A18" s="4">
        <v>17</v>
      </c>
      <c r="B18" s="64">
        <f t="shared" si="0"/>
        <v>9</v>
      </c>
      <c r="C18" s="6" t="s">
        <v>864</v>
      </c>
      <c r="D18" s="7">
        <v>43889</v>
      </c>
      <c r="E18" s="64"/>
      <c r="F18" s="8" t="s">
        <v>880</v>
      </c>
      <c r="G18" s="64"/>
      <c r="H18" s="5" t="s">
        <v>897</v>
      </c>
      <c r="I18" s="5"/>
      <c r="J18" s="8">
        <v>1</v>
      </c>
      <c r="K18" s="9">
        <f t="shared" si="1"/>
        <v>2.5</v>
      </c>
      <c r="L18" s="9" t="s">
        <v>916</v>
      </c>
      <c r="M18" s="65">
        <v>3.57</v>
      </c>
      <c r="N18" s="65"/>
      <c r="O18" s="64" t="str">
        <f t="shared" si="2"/>
        <v>V</v>
      </c>
      <c r="P18" s="64"/>
    </row>
    <row r="19" spans="1:16" ht="13.5" customHeight="1" x14ac:dyDescent="0.25">
      <c r="A19" s="4">
        <v>18</v>
      </c>
      <c r="B19" s="64">
        <f t="shared" si="0"/>
        <v>10</v>
      </c>
      <c r="C19" s="6" t="s">
        <v>864</v>
      </c>
      <c r="D19" s="7">
        <v>43893</v>
      </c>
      <c r="E19" s="64"/>
      <c r="F19" s="8" t="s">
        <v>880</v>
      </c>
      <c r="G19" s="64"/>
      <c r="H19" s="5" t="s">
        <v>898</v>
      </c>
      <c r="I19" s="5"/>
      <c r="J19" s="8">
        <v>1</v>
      </c>
      <c r="K19" s="9">
        <f t="shared" si="1"/>
        <v>2.5</v>
      </c>
      <c r="L19" s="9" t="s">
        <v>916</v>
      </c>
      <c r="M19" s="65">
        <v>3.75</v>
      </c>
      <c r="N19" s="65"/>
      <c r="O19" s="64" t="str">
        <f t="shared" si="2"/>
        <v>M</v>
      </c>
      <c r="P19" s="64"/>
    </row>
    <row r="20" spans="1:16" ht="13.5" customHeight="1" x14ac:dyDescent="0.25">
      <c r="A20" s="4">
        <v>19</v>
      </c>
      <c r="B20" s="64">
        <f t="shared" si="0"/>
        <v>10</v>
      </c>
      <c r="C20" s="6" t="s">
        <v>864</v>
      </c>
      <c r="D20" s="7">
        <v>43896</v>
      </c>
      <c r="E20" s="64"/>
      <c r="F20" s="8" t="s">
        <v>880</v>
      </c>
      <c r="G20" s="64"/>
      <c r="H20" s="5" t="s">
        <v>899</v>
      </c>
      <c r="I20" s="5"/>
      <c r="J20" s="8">
        <v>1</v>
      </c>
      <c r="K20" s="9">
        <f t="shared" si="1"/>
        <v>2.5</v>
      </c>
      <c r="L20" s="9"/>
      <c r="M20" s="65">
        <v>0</v>
      </c>
      <c r="N20" s="65"/>
      <c r="O20" s="64" t="str">
        <f t="shared" si="2"/>
        <v>V</v>
      </c>
      <c r="P20" s="64"/>
    </row>
    <row r="21" spans="1:16" ht="13.5" customHeight="1" x14ac:dyDescent="0.25">
      <c r="A21" s="4">
        <v>20</v>
      </c>
      <c r="B21" s="64">
        <f t="shared" si="0"/>
        <v>11</v>
      </c>
      <c r="C21" s="6" t="s">
        <v>864</v>
      </c>
      <c r="D21" s="7">
        <v>43900</v>
      </c>
      <c r="E21" s="64"/>
      <c r="F21" s="8" t="s">
        <v>880</v>
      </c>
      <c r="G21" s="64"/>
      <c r="H21" s="5" t="s">
        <v>900</v>
      </c>
      <c r="I21" s="5"/>
      <c r="J21" s="8">
        <v>1</v>
      </c>
      <c r="K21" s="9">
        <f t="shared" si="1"/>
        <v>2.5</v>
      </c>
      <c r="L21" s="9"/>
      <c r="M21" s="65">
        <v>0</v>
      </c>
      <c r="N21" s="65"/>
      <c r="O21" s="64" t="str">
        <f t="shared" si="2"/>
        <v>M</v>
      </c>
      <c r="P21" s="64"/>
    </row>
    <row r="22" spans="1:16" ht="13.5" customHeight="1" x14ac:dyDescent="0.25">
      <c r="A22" s="4">
        <v>21</v>
      </c>
      <c r="B22" s="64">
        <f t="shared" si="0"/>
        <v>11</v>
      </c>
      <c r="C22" s="6" t="s">
        <v>864</v>
      </c>
      <c r="D22" s="7">
        <v>43903</v>
      </c>
      <c r="E22" s="64"/>
      <c r="F22" s="8" t="s">
        <v>880</v>
      </c>
      <c r="G22" s="64"/>
      <c r="H22" s="5" t="s">
        <v>901</v>
      </c>
      <c r="I22" s="5"/>
      <c r="J22" s="8">
        <v>1</v>
      </c>
      <c r="K22" s="9">
        <f t="shared" si="1"/>
        <v>2.5</v>
      </c>
      <c r="L22" s="9"/>
      <c r="M22" s="65">
        <v>0</v>
      </c>
      <c r="N22" s="65"/>
      <c r="O22" s="64" t="str">
        <f t="shared" si="2"/>
        <v>V</v>
      </c>
      <c r="P22" s="64"/>
    </row>
    <row r="23" spans="1:16" ht="13.5" customHeight="1" x14ac:dyDescent="0.25">
      <c r="A23" s="4">
        <v>22</v>
      </c>
      <c r="B23" s="64">
        <f t="shared" si="0"/>
        <v>21</v>
      </c>
      <c r="C23" s="6" t="s">
        <v>864</v>
      </c>
      <c r="D23" s="7">
        <v>43970</v>
      </c>
      <c r="E23" s="64"/>
      <c r="F23" s="8" t="s">
        <v>880</v>
      </c>
      <c r="G23" s="64"/>
      <c r="H23" s="5" t="s">
        <v>902</v>
      </c>
      <c r="I23" s="5"/>
      <c r="J23" s="8">
        <v>1</v>
      </c>
      <c r="K23" s="9">
        <f t="shared" si="1"/>
        <v>2.5</v>
      </c>
      <c r="L23" s="9"/>
      <c r="M23" s="65">
        <v>0</v>
      </c>
      <c r="N23" s="65"/>
      <c r="O23" s="64" t="str">
        <f t="shared" si="2"/>
        <v>M</v>
      </c>
      <c r="P23" s="64"/>
    </row>
    <row r="24" spans="1:16" ht="13.5" customHeight="1" x14ac:dyDescent="0.25">
      <c r="A24" s="4">
        <v>23</v>
      </c>
      <c r="B24" s="64">
        <f t="shared" si="0"/>
        <v>21</v>
      </c>
      <c r="C24" s="6" t="s">
        <v>864</v>
      </c>
      <c r="D24" s="7">
        <v>43973</v>
      </c>
      <c r="E24" s="64"/>
      <c r="F24" s="8" t="s">
        <v>880</v>
      </c>
      <c r="G24" s="64"/>
      <c r="H24" s="5" t="s">
        <v>903</v>
      </c>
      <c r="I24" s="5"/>
      <c r="J24" s="8">
        <v>1</v>
      </c>
      <c r="K24" s="9">
        <f t="shared" si="1"/>
        <v>2.5</v>
      </c>
      <c r="L24" s="9"/>
      <c r="M24" s="65">
        <v>0</v>
      </c>
      <c r="N24" s="65"/>
      <c r="O24" s="64" t="str">
        <f t="shared" si="2"/>
        <v>V</v>
      </c>
      <c r="P24" s="64"/>
    </row>
    <row r="25" spans="1:16" ht="13.5" customHeight="1" x14ac:dyDescent="0.25">
      <c r="A25" s="4">
        <v>24</v>
      </c>
      <c r="B25" s="64">
        <f t="shared" si="0"/>
        <v>22</v>
      </c>
      <c r="C25" s="6" t="s">
        <v>864</v>
      </c>
      <c r="D25" s="7">
        <v>43977</v>
      </c>
      <c r="E25" s="64"/>
      <c r="F25" s="8" t="s">
        <v>880</v>
      </c>
      <c r="G25" s="64"/>
      <c r="H25" s="5" t="s">
        <v>904</v>
      </c>
      <c r="I25" s="5"/>
      <c r="J25" s="8">
        <v>1</v>
      </c>
      <c r="K25" s="9">
        <f t="shared" si="1"/>
        <v>2.5</v>
      </c>
      <c r="L25" s="9"/>
      <c r="M25" s="65">
        <v>0</v>
      </c>
      <c r="N25" s="65"/>
      <c r="O25" s="64" t="str">
        <f t="shared" si="2"/>
        <v>M</v>
      </c>
      <c r="P25" s="64"/>
    </row>
    <row r="26" spans="1:16" ht="13.5" customHeight="1" x14ac:dyDescent="0.25">
      <c r="A26" s="4">
        <v>25</v>
      </c>
      <c r="B26" s="64">
        <f t="shared" si="0"/>
        <v>22</v>
      </c>
      <c r="C26" s="6" t="s">
        <v>864</v>
      </c>
      <c r="D26" s="7">
        <v>43980</v>
      </c>
      <c r="E26" s="64"/>
      <c r="F26" s="8" t="s">
        <v>880</v>
      </c>
      <c r="G26" s="64"/>
      <c r="H26" s="5" t="s">
        <v>905</v>
      </c>
      <c r="I26" s="5"/>
      <c r="J26" s="8">
        <v>1</v>
      </c>
      <c r="K26" s="9">
        <f t="shared" si="1"/>
        <v>2.5</v>
      </c>
      <c r="L26" s="9"/>
      <c r="M26" s="65">
        <v>0</v>
      </c>
      <c r="N26" s="65"/>
      <c r="O26" s="64" t="str">
        <f t="shared" si="2"/>
        <v>V</v>
      </c>
      <c r="P26" s="64"/>
    </row>
    <row r="27" spans="1:16" ht="13.5" customHeight="1" x14ac:dyDescent="0.25">
      <c r="A27" s="4">
        <v>26</v>
      </c>
      <c r="B27" s="64">
        <f t="shared" si="0"/>
        <v>23</v>
      </c>
      <c r="C27" s="6" t="s">
        <v>864</v>
      </c>
      <c r="D27" s="7">
        <v>43984</v>
      </c>
      <c r="E27" s="64"/>
      <c r="F27" s="8" t="s">
        <v>880</v>
      </c>
      <c r="G27" s="64"/>
      <c r="H27" s="5" t="s">
        <v>906</v>
      </c>
      <c r="I27" s="5"/>
      <c r="J27" s="8">
        <v>1</v>
      </c>
      <c r="K27" s="9">
        <f t="shared" si="1"/>
        <v>2.5</v>
      </c>
      <c r="L27" s="9"/>
      <c r="M27" s="65">
        <v>0</v>
      </c>
      <c r="N27" s="65"/>
      <c r="O27" s="64" t="str">
        <f t="shared" si="2"/>
        <v>M</v>
      </c>
      <c r="P27" s="64"/>
    </row>
    <row r="28" spans="1:16" ht="13.5" customHeight="1" x14ac:dyDescent="0.25">
      <c r="A28" s="4">
        <v>27</v>
      </c>
      <c r="B28" s="64">
        <f t="shared" si="0"/>
        <v>23</v>
      </c>
      <c r="C28" s="6" t="s">
        <v>864</v>
      </c>
      <c r="D28" s="7">
        <v>43987</v>
      </c>
      <c r="E28" s="64"/>
      <c r="F28" s="8" t="s">
        <v>880</v>
      </c>
      <c r="G28" s="64"/>
      <c r="H28" s="5" t="s">
        <v>907</v>
      </c>
      <c r="I28" s="5"/>
      <c r="J28" s="8">
        <v>1</v>
      </c>
      <c r="K28" s="9">
        <f t="shared" si="1"/>
        <v>2.5</v>
      </c>
      <c r="L28" s="9"/>
      <c r="M28" s="65">
        <v>0</v>
      </c>
      <c r="N28" s="65"/>
      <c r="O28" s="64" t="str">
        <f t="shared" si="2"/>
        <v>V</v>
      </c>
      <c r="P28" s="64"/>
    </row>
    <row r="29" spans="1:16" ht="13.5" customHeight="1" x14ac:dyDescent="0.25">
      <c r="A29" s="4">
        <v>28</v>
      </c>
      <c r="B29" s="64">
        <f t="shared" si="0"/>
        <v>24</v>
      </c>
      <c r="C29" s="6" t="s">
        <v>864</v>
      </c>
      <c r="D29" s="7">
        <v>43991</v>
      </c>
      <c r="E29" s="64"/>
      <c r="F29" s="8" t="s">
        <v>880</v>
      </c>
      <c r="G29" s="64"/>
      <c r="H29" s="5" t="s">
        <v>908</v>
      </c>
      <c r="I29" s="5"/>
      <c r="J29" s="8">
        <v>1</v>
      </c>
      <c r="K29" s="9">
        <f t="shared" si="1"/>
        <v>2.5</v>
      </c>
      <c r="L29" s="9" t="s">
        <v>916</v>
      </c>
      <c r="M29" s="65">
        <v>4.13</v>
      </c>
      <c r="N29" s="65"/>
      <c r="O29" s="64" t="str">
        <f t="shared" si="2"/>
        <v>M</v>
      </c>
      <c r="P29" s="64"/>
    </row>
    <row r="30" spans="1:16" ht="13.5" customHeight="1" x14ac:dyDescent="0.25">
      <c r="A30" s="4">
        <v>29</v>
      </c>
      <c r="B30" s="64">
        <f t="shared" si="0"/>
        <v>24</v>
      </c>
      <c r="C30" s="6" t="s">
        <v>864</v>
      </c>
      <c r="D30" s="7">
        <v>43994</v>
      </c>
      <c r="E30" s="64"/>
      <c r="F30" s="8" t="s">
        <v>880</v>
      </c>
      <c r="G30" s="64"/>
      <c r="H30" s="5" t="s">
        <v>909</v>
      </c>
      <c r="I30" s="5"/>
      <c r="J30" s="8">
        <v>1</v>
      </c>
      <c r="K30" s="9">
        <f t="shared" si="1"/>
        <v>2.5</v>
      </c>
      <c r="L30" s="9"/>
      <c r="M30" s="65">
        <v>0</v>
      </c>
      <c r="N30" s="65"/>
      <c r="O30" s="64" t="str">
        <f t="shared" si="2"/>
        <v>V</v>
      </c>
      <c r="P30" s="64"/>
    </row>
    <row r="31" spans="1:16" ht="13.5" customHeight="1" x14ac:dyDescent="0.25">
      <c r="A31" s="4">
        <v>30</v>
      </c>
      <c r="B31" s="64">
        <f t="shared" si="0"/>
        <v>25</v>
      </c>
      <c r="C31" s="6" t="s">
        <v>864</v>
      </c>
      <c r="D31" s="7">
        <v>43998</v>
      </c>
      <c r="E31" s="64"/>
      <c r="F31" s="8" t="s">
        <v>880</v>
      </c>
      <c r="G31" s="64"/>
      <c r="H31" s="5" t="s">
        <v>910</v>
      </c>
      <c r="I31" s="5"/>
      <c r="J31" s="8">
        <v>1</v>
      </c>
      <c r="K31" s="9">
        <f t="shared" si="1"/>
        <v>2.5</v>
      </c>
      <c r="L31" s="9"/>
      <c r="M31" s="65">
        <v>0</v>
      </c>
      <c r="N31" s="65"/>
      <c r="O31" s="64" t="str">
        <f t="shared" si="2"/>
        <v>M</v>
      </c>
      <c r="P31" s="64"/>
    </row>
    <row r="32" spans="1:16" ht="13.5" customHeight="1" x14ac:dyDescent="0.25">
      <c r="A32" s="4">
        <v>31</v>
      </c>
      <c r="B32" s="64">
        <f t="shared" si="0"/>
        <v>25</v>
      </c>
      <c r="C32" s="6" t="s">
        <v>864</v>
      </c>
      <c r="D32" s="7">
        <v>44001</v>
      </c>
      <c r="E32" s="64"/>
      <c r="F32" s="8" t="s">
        <v>880</v>
      </c>
      <c r="G32" s="64"/>
      <c r="H32" s="5" t="s">
        <v>911</v>
      </c>
      <c r="I32" s="5"/>
      <c r="J32" s="8">
        <v>1</v>
      </c>
      <c r="K32" s="9">
        <f t="shared" si="1"/>
        <v>2.5</v>
      </c>
      <c r="L32" s="9"/>
      <c r="M32" s="65">
        <v>0</v>
      </c>
      <c r="N32" s="65"/>
      <c r="O32" s="64" t="str">
        <f t="shared" si="2"/>
        <v>V</v>
      </c>
      <c r="P32" s="64"/>
    </row>
    <row r="33" spans="1:16" ht="13.5" customHeight="1" x14ac:dyDescent="0.25">
      <c r="A33" s="4">
        <v>32</v>
      </c>
      <c r="B33" s="64">
        <f t="shared" si="0"/>
        <v>26</v>
      </c>
      <c r="C33" s="6" t="s">
        <v>864</v>
      </c>
      <c r="D33" s="7">
        <v>44005</v>
      </c>
      <c r="E33" s="64"/>
      <c r="F33" s="8" t="s">
        <v>880</v>
      </c>
      <c r="G33" s="64"/>
      <c r="H33" s="5" t="s">
        <v>912</v>
      </c>
      <c r="I33" s="5"/>
      <c r="J33" s="8">
        <v>1</v>
      </c>
      <c r="K33" s="9">
        <f t="shared" si="1"/>
        <v>2.5</v>
      </c>
      <c r="L33" s="9"/>
      <c r="M33" s="65">
        <v>0</v>
      </c>
      <c r="N33" s="65"/>
      <c r="O33" s="64" t="str">
        <f t="shared" si="2"/>
        <v>M</v>
      </c>
      <c r="P33" s="64"/>
    </row>
    <row r="34" spans="1:16" ht="13.5" customHeight="1" x14ac:dyDescent="0.25">
      <c r="A34" s="4">
        <v>33</v>
      </c>
      <c r="B34" s="64">
        <f t="shared" si="0"/>
        <v>26</v>
      </c>
      <c r="C34" s="6" t="s">
        <v>864</v>
      </c>
      <c r="D34" s="7">
        <v>44008</v>
      </c>
      <c r="E34" s="64"/>
      <c r="F34" s="8" t="s">
        <v>880</v>
      </c>
      <c r="G34" s="64"/>
      <c r="H34" s="5" t="s">
        <v>913</v>
      </c>
      <c r="I34" s="5"/>
      <c r="J34" s="8">
        <v>1</v>
      </c>
      <c r="K34" s="9">
        <f t="shared" si="1"/>
        <v>2.5</v>
      </c>
      <c r="L34" s="9"/>
      <c r="M34" s="65"/>
      <c r="N34" s="65"/>
      <c r="O34" s="64" t="str">
        <f t="shared" si="2"/>
        <v>V</v>
      </c>
      <c r="P34" s="64"/>
    </row>
    <row r="35" spans="1:16" ht="13.5" customHeight="1" x14ac:dyDescent="0.25">
      <c r="A35" s="4">
        <v>34</v>
      </c>
      <c r="B35" s="64">
        <f t="shared" ref="B35:B48" si="3">WEEKNUM(D35,21)</f>
        <v>27</v>
      </c>
      <c r="C35" s="6" t="s">
        <v>864</v>
      </c>
      <c r="D35" s="7">
        <v>44012</v>
      </c>
      <c r="E35" s="64"/>
      <c r="F35" s="8" t="s">
        <v>880</v>
      </c>
      <c r="G35" s="64"/>
      <c r="H35" s="5" t="s">
        <v>946</v>
      </c>
      <c r="I35" s="5"/>
      <c r="J35" s="8">
        <v>1</v>
      </c>
      <c r="K35" s="9">
        <f t="shared" ref="K35:K46" si="4">IF(C35="GP",J35*1.5,IF(C35="LP",J35*1,IF(C35="EU",J35*2.5,J35*0.5)))</f>
        <v>2.5</v>
      </c>
      <c r="L35" s="73"/>
      <c r="M35" s="65"/>
      <c r="N35" s="65"/>
      <c r="O35" s="64" t="str">
        <f t="shared" ref="O35:O48" si="5">CHOOSE(WEEKDAY(D35),"D","L","M","X","J","V","S")</f>
        <v>M</v>
      </c>
      <c r="P35" s="64"/>
    </row>
    <row r="36" spans="1:16" ht="13.5" customHeight="1" x14ac:dyDescent="0.25">
      <c r="A36" s="4">
        <v>35</v>
      </c>
      <c r="B36" s="64">
        <f t="shared" si="3"/>
        <v>27</v>
      </c>
      <c r="C36" s="6" t="s">
        <v>864</v>
      </c>
      <c r="D36" s="7">
        <v>44015</v>
      </c>
      <c r="E36" s="64"/>
      <c r="F36" s="8" t="s">
        <v>880</v>
      </c>
      <c r="G36" s="64"/>
      <c r="H36" s="5" t="s">
        <v>947</v>
      </c>
      <c r="I36" s="5"/>
      <c r="J36" s="8">
        <v>1</v>
      </c>
      <c r="K36" s="9">
        <f t="shared" si="4"/>
        <v>2.5</v>
      </c>
      <c r="L36" s="73"/>
      <c r="M36" s="65"/>
      <c r="N36" s="65"/>
      <c r="O36" s="64" t="str">
        <f t="shared" si="5"/>
        <v>V</v>
      </c>
      <c r="P36" s="64"/>
    </row>
    <row r="37" spans="1:16" ht="13.5" customHeight="1" x14ac:dyDescent="0.25">
      <c r="A37" s="4">
        <v>36</v>
      </c>
      <c r="B37" s="64">
        <f t="shared" si="3"/>
        <v>28</v>
      </c>
      <c r="C37" s="6" t="s">
        <v>864</v>
      </c>
      <c r="D37" s="7">
        <v>44019</v>
      </c>
      <c r="E37" s="64"/>
      <c r="F37" s="8" t="s">
        <v>880</v>
      </c>
      <c r="G37" s="64"/>
      <c r="H37" s="5" t="s">
        <v>948</v>
      </c>
      <c r="I37" s="5"/>
      <c r="J37" s="8">
        <v>1</v>
      </c>
      <c r="K37" s="9">
        <f t="shared" si="4"/>
        <v>2.5</v>
      </c>
      <c r="L37" s="73"/>
      <c r="M37" s="65"/>
      <c r="N37" s="65"/>
      <c r="O37" s="64" t="str">
        <f t="shared" si="5"/>
        <v>M</v>
      </c>
      <c r="P37" s="64"/>
    </row>
    <row r="38" spans="1:16" ht="13.5" customHeight="1" x14ac:dyDescent="0.25">
      <c r="A38" s="4">
        <v>37</v>
      </c>
      <c r="B38" s="64">
        <f t="shared" si="3"/>
        <v>28</v>
      </c>
      <c r="C38" s="6" t="s">
        <v>864</v>
      </c>
      <c r="D38" s="7">
        <v>44022</v>
      </c>
      <c r="E38" s="64"/>
      <c r="F38" s="8" t="s">
        <v>880</v>
      </c>
      <c r="G38" s="64"/>
      <c r="H38" s="5" t="s">
        <v>949</v>
      </c>
      <c r="I38" s="5"/>
      <c r="J38" s="8">
        <v>1</v>
      </c>
      <c r="K38" s="9">
        <f t="shared" si="4"/>
        <v>2.5</v>
      </c>
      <c r="L38" s="73"/>
      <c r="M38" s="65"/>
      <c r="N38" s="65"/>
      <c r="O38" s="64" t="str">
        <f t="shared" si="5"/>
        <v>V</v>
      </c>
      <c r="P38" s="64"/>
    </row>
    <row r="39" spans="1:16" ht="13.5" customHeight="1" x14ac:dyDescent="0.25">
      <c r="A39" s="4">
        <v>38</v>
      </c>
      <c r="B39" s="64">
        <f t="shared" si="3"/>
        <v>29</v>
      </c>
      <c r="C39" s="6" t="s">
        <v>864</v>
      </c>
      <c r="D39" s="7">
        <v>44026</v>
      </c>
      <c r="E39" s="64"/>
      <c r="F39" s="8" t="s">
        <v>880</v>
      </c>
      <c r="G39" s="64"/>
      <c r="H39" s="5" t="s">
        <v>950</v>
      </c>
      <c r="I39" s="5"/>
      <c r="J39" s="8">
        <v>1</v>
      </c>
      <c r="K39" s="9">
        <f t="shared" si="4"/>
        <v>2.5</v>
      </c>
      <c r="L39" s="73"/>
      <c r="M39" s="65"/>
      <c r="N39" s="65"/>
      <c r="O39" s="64" t="str">
        <f t="shared" si="5"/>
        <v>M</v>
      </c>
      <c r="P39" s="64"/>
    </row>
    <row r="40" spans="1:16" ht="13.5" customHeight="1" x14ac:dyDescent="0.25">
      <c r="A40" s="4">
        <v>39</v>
      </c>
      <c r="B40" s="64">
        <f t="shared" si="3"/>
        <v>29</v>
      </c>
      <c r="C40" s="6" t="s">
        <v>864</v>
      </c>
      <c r="D40" s="7">
        <v>44029</v>
      </c>
      <c r="E40" s="64"/>
      <c r="F40" s="8" t="s">
        <v>880</v>
      </c>
      <c r="G40" s="64"/>
      <c r="H40" s="5" t="s">
        <v>951</v>
      </c>
      <c r="I40" s="5"/>
      <c r="J40" s="8">
        <v>1</v>
      </c>
      <c r="K40" s="9">
        <f t="shared" si="4"/>
        <v>2.5</v>
      </c>
      <c r="L40" s="73"/>
      <c r="M40" s="65"/>
      <c r="N40" s="65"/>
      <c r="O40" s="64" t="str">
        <f t="shared" si="5"/>
        <v>V</v>
      </c>
      <c r="P40" s="64"/>
    </row>
    <row r="41" spans="1:16" ht="13.5" customHeight="1" x14ac:dyDescent="0.25">
      <c r="A41" s="4">
        <v>40</v>
      </c>
      <c r="B41" s="64">
        <f t="shared" si="3"/>
        <v>30</v>
      </c>
      <c r="C41" s="6" t="s">
        <v>864</v>
      </c>
      <c r="D41" s="7">
        <v>44033</v>
      </c>
      <c r="E41" s="64"/>
      <c r="F41" s="8" t="s">
        <v>880</v>
      </c>
      <c r="G41" s="64"/>
      <c r="H41" s="5" t="s">
        <v>952</v>
      </c>
      <c r="I41" s="5"/>
      <c r="J41" s="8">
        <v>1</v>
      </c>
      <c r="K41" s="9">
        <f t="shared" si="4"/>
        <v>2.5</v>
      </c>
      <c r="L41" s="73"/>
      <c r="M41" s="65"/>
      <c r="N41" s="65"/>
      <c r="O41" s="64" t="str">
        <f t="shared" si="5"/>
        <v>M</v>
      </c>
      <c r="P41" s="64"/>
    </row>
    <row r="42" spans="1:16" ht="13.5" customHeight="1" x14ac:dyDescent="0.25">
      <c r="A42" s="4">
        <v>41</v>
      </c>
      <c r="B42" s="64">
        <f t="shared" si="3"/>
        <v>30</v>
      </c>
      <c r="C42" s="6" t="s">
        <v>864</v>
      </c>
      <c r="D42" s="7">
        <v>44036</v>
      </c>
      <c r="E42" s="64"/>
      <c r="F42" s="8" t="s">
        <v>880</v>
      </c>
      <c r="G42" s="64"/>
      <c r="H42" s="5" t="s">
        <v>953</v>
      </c>
      <c r="I42" s="5"/>
      <c r="J42" s="8">
        <v>1</v>
      </c>
      <c r="K42" s="9">
        <f t="shared" si="4"/>
        <v>2.5</v>
      </c>
      <c r="L42" s="73"/>
      <c r="M42" s="65"/>
      <c r="N42" s="65"/>
      <c r="O42" s="64" t="str">
        <f t="shared" si="5"/>
        <v>V</v>
      </c>
      <c r="P42" s="64"/>
    </row>
    <row r="43" spans="1:16" ht="13.5" customHeight="1" x14ac:dyDescent="0.25">
      <c r="A43" s="4">
        <v>42</v>
      </c>
      <c r="B43" s="64">
        <f t="shared" si="3"/>
        <v>31</v>
      </c>
      <c r="C43" s="6" t="s">
        <v>864</v>
      </c>
      <c r="D43" s="7">
        <v>44040</v>
      </c>
      <c r="E43" s="64"/>
      <c r="F43" s="8" t="s">
        <v>880</v>
      </c>
      <c r="G43" s="64"/>
      <c r="H43" s="5" t="s">
        <v>954</v>
      </c>
      <c r="I43" s="5"/>
      <c r="J43" s="8">
        <v>1</v>
      </c>
      <c r="K43" s="9">
        <f t="shared" si="4"/>
        <v>2.5</v>
      </c>
      <c r="L43" s="73"/>
      <c r="M43" s="65"/>
      <c r="N43" s="65"/>
      <c r="O43" s="64" t="str">
        <f t="shared" si="5"/>
        <v>M</v>
      </c>
      <c r="P43" s="64"/>
    </row>
    <row r="44" spans="1:16" ht="13.5" customHeight="1" x14ac:dyDescent="0.25">
      <c r="A44" s="4">
        <v>43</v>
      </c>
      <c r="B44" s="64">
        <f t="shared" si="3"/>
        <v>31</v>
      </c>
      <c r="C44" s="6" t="s">
        <v>864</v>
      </c>
      <c r="D44" s="7">
        <v>44043</v>
      </c>
      <c r="E44" s="64"/>
      <c r="F44" s="8" t="s">
        <v>880</v>
      </c>
      <c r="G44" s="64"/>
      <c r="H44" s="5" t="s">
        <v>955</v>
      </c>
      <c r="I44" s="5"/>
      <c r="J44" s="8">
        <v>1</v>
      </c>
      <c r="K44" s="9">
        <f t="shared" si="4"/>
        <v>2.5</v>
      </c>
      <c r="L44" s="73"/>
      <c r="M44" s="65"/>
      <c r="N44" s="65"/>
      <c r="O44" s="64" t="str">
        <f t="shared" si="5"/>
        <v>V</v>
      </c>
      <c r="P44" s="64"/>
    </row>
    <row r="45" spans="1:16" ht="13.5" customHeight="1" x14ac:dyDescent="0.25">
      <c r="A45" s="4">
        <v>44</v>
      </c>
      <c r="B45" s="64">
        <f t="shared" si="3"/>
        <v>32</v>
      </c>
      <c r="C45" s="6" t="s">
        <v>864</v>
      </c>
      <c r="D45" s="7">
        <v>44047</v>
      </c>
      <c r="E45" s="64"/>
      <c r="F45" s="8" t="s">
        <v>880</v>
      </c>
      <c r="G45" s="64"/>
      <c r="H45" s="5" t="s">
        <v>956</v>
      </c>
      <c r="I45" s="5"/>
      <c r="J45" s="8">
        <v>1</v>
      </c>
      <c r="K45" s="9">
        <f t="shared" si="4"/>
        <v>2.5</v>
      </c>
      <c r="L45" s="73"/>
      <c r="M45" s="65"/>
      <c r="N45" s="65"/>
      <c r="O45" s="64" t="str">
        <f t="shared" si="5"/>
        <v>M</v>
      </c>
      <c r="P45" s="64"/>
    </row>
    <row r="46" spans="1:16" ht="13.5" customHeight="1" x14ac:dyDescent="0.25">
      <c r="A46" s="4">
        <v>45</v>
      </c>
      <c r="B46" s="64">
        <f t="shared" si="3"/>
        <v>32</v>
      </c>
      <c r="C46" s="6" t="s">
        <v>864</v>
      </c>
      <c r="D46" s="7">
        <v>44050</v>
      </c>
      <c r="E46" s="64"/>
      <c r="F46" s="8" t="s">
        <v>880</v>
      </c>
      <c r="G46" s="64"/>
      <c r="H46" s="5" t="s">
        <v>957</v>
      </c>
      <c r="I46" s="5"/>
      <c r="J46" s="8">
        <v>1</v>
      </c>
      <c r="K46" s="9">
        <f t="shared" si="4"/>
        <v>2.5</v>
      </c>
      <c r="L46" s="73"/>
      <c r="M46" s="65"/>
      <c r="N46" s="65"/>
      <c r="O46" s="64" t="str">
        <f t="shared" si="5"/>
        <v>V</v>
      </c>
      <c r="P46" s="64"/>
    </row>
    <row r="47" spans="1:16" ht="13.5" customHeight="1" x14ac:dyDescent="0.25">
      <c r="A47" s="4">
        <v>46</v>
      </c>
      <c r="B47" s="64">
        <f t="shared" si="3"/>
        <v>33</v>
      </c>
      <c r="C47" s="6" t="s">
        <v>864</v>
      </c>
      <c r="D47" s="7">
        <v>44054</v>
      </c>
      <c r="E47" s="64"/>
      <c r="F47" s="8" t="s">
        <v>880</v>
      </c>
      <c r="G47" s="64"/>
      <c r="H47" s="5"/>
      <c r="I47" s="5"/>
      <c r="J47" s="71"/>
      <c r="K47" s="72">
        <f t="shared" ref="K35:K48" si="6">IF(C47="GP",J47*1.5,IF(C47="LP",J47*1,IF(C47="EU",J47*2.5,J47*0.5)))</f>
        <v>0</v>
      </c>
      <c r="L47" s="73"/>
      <c r="M47" s="65"/>
      <c r="N47" s="65"/>
      <c r="O47" s="64" t="str">
        <f t="shared" si="5"/>
        <v>M</v>
      </c>
      <c r="P47" s="64"/>
    </row>
    <row r="48" spans="1:16" ht="13.5" customHeight="1" x14ac:dyDescent="0.25">
      <c r="A48" s="4">
        <v>47</v>
      </c>
      <c r="B48" s="64">
        <f t="shared" si="3"/>
        <v>33</v>
      </c>
      <c r="C48" s="6" t="s">
        <v>864</v>
      </c>
      <c r="D48" s="7">
        <v>44057</v>
      </c>
      <c r="E48" s="64"/>
      <c r="F48" s="8" t="s">
        <v>880</v>
      </c>
      <c r="G48" s="64"/>
      <c r="H48" s="5"/>
      <c r="I48" s="5"/>
      <c r="J48" s="71"/>
      <c r="K48" s="72">
        <f t="shared" si="6"/>
        <v>0</v>
      </c>
      <c r="L48" s="73"/>
      <c r="M48" s="65"/>
      <c r="N48" s="65"/>
      <c r="O48" s="64" t="str">
        <f t="shared" si="5"/>
        <v>V</v>
      </c>
      <c r="P48" s="64"/>
    </row>
  </sheetData>
  <dataConsolidate/>
  <pageMargins left="0.75" right="0.75" top="1" bottom="1" header="0" footer="0"/>
  <pageSetup paperSize="9" scale="60" orientation="portrait" horizontalDpi="300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00AF5-624B-42B0-B76A-AC3A8CEC240C}">
  <sheetPr codeName="Hoja7"/>
  <dimension ref="A1:Y48"/>
  <sheetViews>
    <sheetView topLeftCell="A25" zoomScale="135" zoomScaleNormal="145" zoomScaleSheetLayoutView="160" workbookViewId="0">
      <selection activeCell="C47" sqref="C47"/>
    </sheetView>
  </sheetViews>
  <sheetFormatPr baseColWidth="10" defaultColWidth="8" defaultRowHeight="12.75" x14ac:dyDescent="0.2"/>
  <cols>
    <col min="1" max="1" width="3.140625" style="14" bestFit="1" customWidth="1"/>
    <col min="2" max="2" width="8.7109375" style="14" bestFit="1" customWidth="1"/>
    <col min="3" max="3" width="10.5703125" style="14" bestFit="1" customWidth="1"/>
    <col min="4" max="4" width="6.7109375" style="14" bestFit="1" customWidth="1"/>
    <col min="5" max="5" width="8.5703125" style="14" bestFit="1" customWidth="1"/>
    <col min="6" max="14" width="3.42578125" style="14" bestFit="1" customWidth="1"/>
    <col min="15" max="20" width="3.42578125" style="14" customWidth="1"/>
    <col min="21" max="21" width="8.7109375" style="14" bestFit="1" customWidth="1"/>
    <col min="22" max="22" width="7.85546875" style="14" bestFit="1" customWidth="1"/>
    <col min="23" max="23" width="6.42578125" style="14" bestFit="1" customWidth="1"/>
    <col min="24" max="24" width="7.7109375" style="14" bestFit="1" customWidth="1"/>
    <col min="25" max="25" width="12" style="14" bestFit="1" customWidth="1"/>
    <col min="26" max="16384" width="8" style="14"/>
  </cols>
  <sheetData>
    <row r="1" spans="1:25" ht="13.5" thickBot="1" x14ac:dyDescent="0.25">
      <c r="A1" s="11" t="s">
        <v>9</v>
      </c>
      <c r="B1" s="11" t="s">
        <v>19</v>
      </c>
      <c r="C1" s="11" t="s">
        <v>1</v>
      </c>
      <c r="D1" s="11" t="s">
        <v>10</v>
      </c>
      <c r="E1" s="11" t="s">
        <v>20</v>
      </c>
      <c r="F1" s="11" t="s">
        <v>4</v>
      </c>
      <c r="G1" s="12" t="s">
        <v>5</v>
      </c>
      <c r="H1" s="12" t="s">
        <v>6</v>
      </c>
      <c r="I1" s="12" t="s">
        <v>7</v>
      </c>
      <c r="J1" s="12" t="s">
        <v>8</v>
      </c>
      <c r="K1" s="12" t="s">
        <v>21</v>
      </c>
      <c r="L1" s="12" t="s">
        <v>22</v>
      </c>
      <c r="M1" s="12" t="s">
        <v>23</v>
      </c>
      <c r="N1" s="11" t="s">
        <v>24</v>
      </c>
      <c r="O1" s="11" t="s">
        <v>31</v>
      </c>
      <c r="P1" s="11" t="s">
        <v>72</v>
      </c>
      <c r="Q1" s="11" t="s">
        <v>73</v>
      </c>
      <c r="R1" s="11" t="s">
        <v>865</v>
      </c>
      <c r="S1" s="11" t="s">
        <v>866</v>
      </c>
      <c r="T1" s="11" t="s">
        <v>867</v>
      </c>
      <c r="U1" s="11" t="s">
        <v>25</v>
      </c>
      <c r="V1" s="12" t="s">
        <v>26</v>
      </c>
      <c r="W1" s="12" t="s">
        <v>15</v>
      </c>
      <c r="X1" s="12" t="s">
        <v>27</v>
      </c>
      <c r="Y1" s="13" t="s">
        <v>28</v>
      </c>
    </row>
    <row r="2" spans="1:25" s="19" customFormat="1" x14ac:dyDescent="0.2">
      <c r="A2" s="5">
        <v>1</v>
      </c>
      <c r="B2" s="69">
        <v>1</v>
      </c>
      <c r="C2" s="15">
        <v>43833</v>
      </c>
      <c r="D2" s="16" t="s">
        <v>864</v>
      </c>
      <c r="E2" s="17">
        <f>WEEKNUM(Tabla167[[#This Row],[Fecha]],21)</f>
        <v>1</v>
      </c>
      <c r="F2" s="18">
        <v>1</v>
      </c>
      <c r="G2" s="18">
        <v>3</v>
      </c>
      <c r="H2" s="18">
        <v>26</v>
      </c>
      <c r="I2" s="18">
        <v>32</v>
      </c>
      <c r="J2" s="18">
        <v>48</v>
      </c>
      <c r="K2" s="18"/>
      <c r="L2" s="18"/>
      <c r="M2" s="18"/>
      <c r="N2" s="18"/>
      <c r="O2" s="18"/>
      <c r="P2" s="18">
        <v>2</v>
      </c>
      <c r="Q2" s="18">
        <v>10</v>
      </c>
      <c r="R2" s="18"/>
      <c r="S2" s="18"/>
      <c r="T2" s="18"/>
      <c r="U2" s="18">
        <v>1</v>
      </c>
      <c r="V2" s="18"/>
      <c r="W2" s="17">
        <v>2.5</v>
      </c>
      <c r="X2" s="17"/>
      <c r="Y2" s="17"/>
    </row>
    <row r="3" spans="1:25" x14ac:dyDescent="0.2">
      <c r="A3" s="66">
        <v>2</v>
      </c>
      <c r="B3" s="69">
        <v>2</v>
      </c>
      <c r="C3" s="15">
        <v>43837</v>
      </c>
      <c r="D3" s="16" t="s">
        <v>864</v>
      </c>
      <c r="E3" s="67">
        <f>WEEKNUM(Tabla167[[#This Row],[Fecha]],21)</f>
        <v>2</v>
      </c>
      <c r="F3" s="66">
        <v>1</v>
      </c>
      <c r="G3" s="66">
        <v>3</v>
      </c>
      <c r="H3" s="66">
        <v>7</v>
      </c>
      <c r="I3" s="66">
        <v>26</v>
      </c>
      <c r="J3" s="66">
        <v>47</v>
      </c>
      <c r="K3" s="66"/>
      <c r="L3" s="66"/>
      <c r="M3" s="66"/>
      <c r="N3" s="66"/>
      <c r="O3" s="18"/>
      <c r="P3" s="18">
        <v>2</v>
      </c>
      <c r="Q3" s="18">
        <v>10</v>
      </c>
      <c r="R3" s="18"/>
      <c r="S3" s="18"/>
      <c r="T3" s="18"/>
      <c r="U3" s="66"/>
      <c r="V3" s="66"/>
      <c r="W3" s="17">
        <v>2.5</v>
      </c>
      <c r="X3" s="68"/>
      <c r="Y3" s="68"/>
    </row>
    <row r="4" spans="1:25" x14ac:dyDescent="0.2">
      <c r="A4" s="66">
        <v>3</v>
      </c>
      <c r="B4" s="69">
        <v>3</v>
      </c>
      <c r="C4" s="15">
        <v>43840</v>
      </c>
      <c r="D4" s="16" t="s">
        <v>864</v>
      </c>
      <c r="E4" s="67">
        <f>WEEKNUM(Tabla167[[#This Row],[Fecha]],21)</f>
        <v>2</v>
      </c>
      <c r="F4" s="66">
        <v>17</v>
      </c>
      <c r="G4" s="66">
        <v>23</v>
      </c>
      <c r="H4" s="66">
        <v>27</v>
      </c>
      <c r="I4" s="66">
        <v>39</v>
      </c>
      <c r="J4" s="66">
        <v>44</v>
      </c>
      <c r="K4" s="66"/>
      <c r="L4" s="66"/>
      <c r="M4" s="66"/>
      <c r="N4" s="66"/>
      <c r="O4" s="18"/>
      <c r="P4" s="18">
        <v>2</v>
      </c>
      <c r="Q4" s="18">
        <v>8</v>
      </c>
      <c r="R4" s="18"/>
      <c r="S4" s="18"/>
      <c r="T4" s="18"/>
      <c r="U4" s="66"/>
      <c r="V4" s="66"/>
      <c r="W4" s="17">
        <v>2.5</v>
      </c>
      <c r="X4" s="68"/>
      <c r="Y4" s="68"/>
    </row>
    <row r="5" spans="1:25" x14ac:dyDescent="0.2">
      <c r="A5" s="66">
        <v>4</v>
      </c>
      <c r="B5" s="69">
        <v>4</v>
      </c>
      <c r="C5" s="15">
        <v>43844</v>
      </c>
      <c r="D5" s="16" t="s">
        <v>864</v>
      </c>
      <c r="E5" s="67">
        <f>WEEKNUM(Tabla167[[#This Row],[Fecha]],21)</f>
        <v>3</v>
      </c>
      <c r="F5" s="66">
        <v>1</v>
      </c>
      <c r="G5" s="66">
        <v>32</v>
      </c>
      <c r="H5" s="66">
        <v>39</v>
      </c>
      <c r="I5" s="66">
        <v>42</v>
      </c>
      <c r="J5" s="66">
        <v>47</v>
      </c>
      <c r="K5" s="66"/>
      <c r="L5" s="66"/>
      <c r="M5" s="66"/>
      <c r="N5" s="66"/>
      <c r="O5" s="18"/>
      <c r="P5" s="18">
        <v>2</v>
      </c>
      <c r="Q5" s="18">
        <v>6</v>
      </c>
      <c r="R5" s="18"/>
      <c r="S5" s="18"/>
      <c r="T5" s="18"/>
      <c r="U5" s="66"/>
      <c r="V5" s="66"/>
      <c r="W5" s="17">
        <v>2.5</v>
      </c>
      <c r="X5" s="68"/>
      <c r="Y5" s="68"/>
    </row>
    <row r="6" spans="1:25" x14ac:dyDescent="0.2">
      <c r="A6" s="5">
        <v>5</v>
      </c>
      <c r="B6" s="69">
        <v>5</v>
      </c>
      <c r="C6" s="15">
        <v>43847</v>
      </c>
      <c r="D6" s="16" t="s">
        <v>864</v>
      </c>
      <c r="E6" s="67">
        <f>WEEKNUM(Tabla167[[#This Row],[Fecha]],21)</f>
        <v>3</v>
      </c>
      <c r="F6" s="66">
        <v>17</v>
      </c>
      <c r="G6" s="66">
        <v>44</v>
      </c>
      <c r="H6" s="66">
        <v>27</v>
      </c>
      <c r="I6" s="66">
        <v>23</v>
      </c>
      <c r="J6" s="66">
        <v>39</v>
      </c>
      <c r="K6" s="66"/>
      <c r="L6" s="66"/>
      <c r="M6" s="66"/>
      <c r="N6" s="66"/>
      <c r="O6" s="18"/>
      <c r="P6" s="18">
        <v>2</v>
      </c>
      <c r="Q6" s="18">
        <v>8</v>
      </c>
      <c r="R6" s="18"/>
      <c r="S6" s="18"/>
      <c r="T6" s="18"/>
      <c r="U6" s="66"/>
      <c r="V6" s="66"/>
      <c r="W6" s="17">
        <v>2.5</v>
      </c>
      <c r="X6" s="68"/>
      <c r="Y6" s="68"/>
    </row>
    <row r="7" spans="1:25" x14ac:dyDescent="0.2">
      <c r="A7" s="66">
        <v>6</v>
      </c>
      <c r="B7" s="69">
        <v>6</v>
      </c>
      <c r="C7" s="15">
        <v>43851</v>
      </c>
      <c r="D7" s="16" t="s">
        <v>864</v>
      </c>
      <c r="E7" s="67">
        <f>WEEKNUM(Tabla167[[#This Row],[Fecha]],21)</f>
        <v>4</v>
      </c>
      <c r="F7" s="66">
        <v>17</v>
      </c>
      <c r="G7" s="66">
        <v>23</v>
      </c>
      <c r="H7" s="66">
        <v>27</v>
      </c>
      <c r="I7" s="66">
        <v>39</v>
      </c>
      <c r="J7" s="66">
        <v>44</v>
      </c>
      <c r="K7" s="66"/>
      <c r="L7" s="66"/>
      <c r="M7" s="66"/>
      <c r="N7" s="66"/>
      <c r="O7" s="18"/>
      <c r="P7" s="18">
        <v>2</v>
      </c>
      <c r="Q7" s="18">
        <v>8</v>
      </c>
      <c r="R7" s="18"/>
      <c r="S7" s="18"/>
      <c r="T7" s="18"/>
      <c r="U7" s="66"/>
      <c r="V7" s="66"/>
      <c r="W7" s="17">
        <v>2.5</v>
      </c>
      <c r="X7" s="68"/>
      <c r="Y7" s="68"/>
    </row>
    <row r="8" spans="1:25" x14ac:dyDescent="0.2">
      <c r="A8" s="66">
        <v>7</v>
      </c>
      <c r="B8" s="69">
        <v>7</v>
      </c>
      <c r="C8" s="15">
        <v>43854</v>
      </c>
      <c r="D8" s="16" t="s">
        <v>864</v>
      </c>
      <c r="E8" s="67">
        <f>WEEKNUM(Tabla167[[#This Row],[Fecha]],21)</f>
        <v>4</v>
      </c>
      <c r="F8" s="66">
        <v>5</v>
      </c>
      <c r="G8" s="66">
        <v>8</v>
      </c>
      <c r="H8" s="66">
        <v>20</v>
      </c>
      <c r="I8" s="66">
        <v>26</v>
      </c>
      <c r="J8" s="66">
        <v>44</v>
      </c>
      <c r="K8" s="66"/>
      <c r="L8" s="66"/>
      <c r="M8" s="66"/>
      <c r="N8" s="66"/>
      <c r="O8" s="18"/>
      <c r="P8" s="18">
        <v>3</v>
      </c>
      <c r="Q8" s="18">
        <v>8</v>
      </c>
      <c r="R8" s="18"/>
      <c r="S8" s="18"/>
      <c r="T8" s="18"/>
      <c r="U8" s="66"/>
      <c r="V8" s="66"/>
      <c r="W8" s="17">
        <v>2.5</v>
      </c>
      <c r="X8" s="68"/>
      <c r="Y8" s="68"/>
    </row>
    <row r="9" spans="1:25" x14ac:dyDescent="0.2">
      <c r="A9" s="66">
        <v>8</v>
      </c>
      <c r="B9" s="69">
        <v>8</v>
      </c>
      <c r="C9" s="15">
        <v>43858</v>
      </c>
      <c r="D9" s="16" t="s">
        <v>864</v>
      </c>
      <c r="E9" s="67">
        <f>WEEKNUM(Tabla167[[#This Row],[Fecha]],21)</f>
        <v>5</v>
      </c>
      <c r="F9" s="66">
        <v>5</v>
      </c>
      <c r="G9" s="66">
        <v>20</v>
      </c>
      <c r="H9" s="66">
        <v>26</v>
      </c>
      <c r="I9" s="66">
        <v>29</v>
      </c>
      <c r="J9" s="66">
        <v>44</v>
      </c>
      <c r="K9" s="66"/>
      <c r="L9" s="66"/>
      <c r="M9" s="66"/>
      <c r="N9" s="66"/>
      <c r="O9" s="18"/>
      <c r="P9" s="18">
        <v>5</v>
      </c>
      <c r="Q9" s="18">
        <v>8</v>
      </c>
      <c r="R9" s="18"/>
      <c r="S9" s="18"/>
      <c r="T9" s="18"/>
      <c r="U9" s="66"/>
      <c r="V9" s="66"/>
      <c r="W9" s="17">
        <v>2.5</v>
      </c>
      <c r="X9" s="68"/>
      <c r="Y9" s="68"/>
    </row>
    <row r="10" spans="1:25" x14ac:dyDescent="0.2">
      <c r="A10" s="5">
        <v>9</v>
      </c>
      <c r="B10" s="69">
        <v>9</v>
      </c>
      <c r="C10" s="15">
        <v>43861</v>
      </c>
      <c r="D10" s="16" t="s">
        <v>864</v>
      </c>
      <c r="E10" s="67">
        <f>WEEKNUM(Tabla167[[#This Row],[Fecha]],21)</f>
        <v>5</v>
      </c>
      <c r="F10" s="66">
        <v>1</v>
      </c>
      <c r="G10" s="66">
        <v>3</v>
      </c>
      <c r="H10" s="66">
        <v>32</v>
      </c>
      <c r="I10" s="66">
        <v>39</v>
      </c>
      <c r="J10" s="66">
        <v>42</v>
      </c>
      <c r="K10" s="66"/>
      <c r="L10" s="66"/>
      <c r="M10" s="66"/>
      <c r="N10" s="66"/>
      <c r="O10" s="18"/>
      <c r="P10" s="18">
        <v>2</v>
      </c>
      <c r="Q10" s="18">
        <v>6</v>
      </c>
      <c r="R10" s="18"/>
      <c r="S10" s="18"/>
      <c r="T10" s="18"/>
      <c r="U10" s="66"/>
      <c r="V10" s="66"/>
      <c r="W10" s="17">
        <v>2.5</v>
      </c>
      <c r="X10" s="68"/>
      <c r="Y10" s="68"/>
    </row>
    <row r="11" spans="1:25" x14ac:dyDescent="0.2">
      <c r="A11" s="66">
        <v>10</v>
      </c>
      <c r="B11" s="69">
        <v>10</v>
      </c>
      <c r="C11" s="15">
        <v>43865</v>
      </c>
      <c r="D11" s="16" t="s">
        <v>864</v>
      </c>
      <c r="E11" s="67">
        <f>WEEKNUM(Tabla167[[#This Row],[Fecha]],21)</f>
        <v>6</v>
      </c>
      <c r="F11" s="66">
        <v>19</v>
      </c>
      <c r="G11" s="66">
        <v>20</v>
      </c>
      <c r="H11" s="66">
        <v>24</v>
      </c>
      <c r="I11" s="66">
        <v>29</v>
      </c>
      <c r="J11" s="66">
        <v>44</v>
      </c>
      <c r="K11" s="66"/>
      <c r="L11" s="66"/>
      <c r="M11" s="66"/>
      <c r="N11" s="66"/>
      <c r="O11" s="18"/>
      <c r="P11" s="18">
        <v>8</v>
      </c>
      <c r="Q11" s="18">
        <v>5</v>
      </c>
      <c r="R11" s="18"/>
      <c r="S11" s="18"/>
      <c r="T11" s="18"/>
      <c r="U11" s="66"/>
      <c r="V11" s="66"/>
      <c r="W11" s="17">
        <v>2.5</v>
      </c>
      <c r="X11" s="68"/>
      <c r="Y11" s="68"/>
    </row>
    <row r="12" spans="1:25" x14ac:dyDescent="0.2">
      <c r="A12" s="66">
        <v>11</v>
      </c>
      <c r="B12" s="69">
        <v>11</v>
      </c>
      <c r="C12" s="15">
        <v>43868</v>
      </c>
      <c r="D12" s="16" t="s">
        <v>864</v>
      </c>
      <c r="E12" s="67">
        <f>WEEKNUM(Tabla167[[#This Row],[Fecha]],21)</f>
        <v>6</v>
      </c>
      <c r="F12" s="66">
        <v>1</v>
      </c>
      <c r="G12" s="66">
        <v>27</v>
      </c>
      <c r="H12" s="66">
        <v>39</v>
      </c>
      <c r="I12" s="66">
        <v>42</v>
      </c>
      <c r="J12" s="66">
        <v>47</v>
      </c>
      <c r="K12" s="66"/>
      <c r="L12" s="66"/>
      <c r="M12" s="66"/>
      <c r="N12" s="66"/>
      <c r="O12" s="18"/>
      <c r="P12" s="18">
        <v>2</v>
      </c>
      <c r="Q12" s="18">
        <v>6</v>
      </c>
      <c r="R12" s="18"/>
      <c r="S12" s="18"/>
      <c r="T12" s="18"/>
      <c r="U12" s="66"/>
      <c r="V12" s="66"/>
      <c r="W12" s="17">
        <v>2.5</v>
      </c>
      <c r="X12" s="68"/>
      <c r="Y12" s="68"/>
    </row>
    <row r="13" spans="1:25" x14ac:dyDescent="0.2">
      <c r="A13" s="66">
        <v>12</v>
      </c>
      <c r="B13" s="69">
        <v>12</v>
      </c>
      <c r="C13" s="15">
        <v>43872</v>
      </c>
      <c r="D13" s="16" t="s">
        <v>864</v>
      </c>
      <c r="E13" s="67">
        <f>WEEKNUM(Tabla167[[#This Row],[Fecha]],21)</f>
        <v>7</v>
      </c>
      <c r="F13" s="66">
        <v>19</v>
      </c>
      <c r="G13" s="66">
        <v>20</v>
      </c>
      <c r="H13" s="66">
        <v>23</v>
      </c>
      <c r="I13" s="66">
        <v>25</v>
      </c>
      <c r="J13" s="66">
        <v>44</v>
      </c>
      <c r="K13" s="66"/>
      <c r="L13" s="66"/>
      <c r="M13" s="66"/>
      <c r="N13" s="66"/>
      <c r="O13" s="18"/>
      <c r="P13" s="18">
        <v>3</v>
      </c>
      <c r="Q13" s="18">
        <v>8</v>
      </c>
      <c r="R13" s="18"/>
      <c r="S13" s="18"/>
      <c r="T13" s="18"/>
      <c r="U13" s="66"/>
      <c r="V13" s="66"/>
      <c r="W13" s="17">
        <v>2.5</v>
      </c>
      <c r="X13" s="68"/>
      <c r="Y13" s="68"/>
    </row>
    <row r="14" spans="1:25" x14ac:dyDescent="0.2">
      <c r="A14" s="5">
        <v>13</v>
      </c>
      <c r="B14" s="69">
        <v>13</v>
      </c>
      <c r="C14" s="15">
        <v>43875</v>
      </c>
      <c r="D14" s="16" t="s">
        <v>864</v>
      </c>
      <c r="E14" s="67">
        <f>WEEKNUM(Tabla167[[#This Row],[Fecha]],21)</f>
        <v>7</v>
      </c>
      <c r="F14" s="66">
        <v>1</v>
      </c>
      <c r="G14" s="66">
        <v>32</v>
      </c>
      <c r="H14" s="66">
        <v>39</v>
      </c>
      <c r="I14" s="66">
        <v>42</v>
      </c>
      <c r="J14" s="66">
        <v>47</v>
      </c>
      <c r="K14" s="66"/>
      <c r="L14" s="66"/>
      <c r="M14" s="66"/>
      <c r="N14" s="66"/>
      <c r="O14" s="18"/>
      <c r="P14" s="18">
        <v>2</v>
      </c>
      <c r="Q14" s="18">
        <v>6</v>
      </c>
      <c r="R14" s="18"/>
      <c r="S14" s="18"/>
      <c r="T14" s="18"/>
      <c r="U14" s="66"/>
      <c r="V14" s="66"/>
      <c r="W14" s="17">
        <v>2.5</v>
      </c>
      <c r="X14" s="68"/>
      <c r="Y14" s="68"/>
    </row>
    <row r="15" spans="1:25" x14ac:dyDescent="0.2">
      <c r="A15" s="66">
        <v>14</v>
      </c>
      <c r="B15" s="69">
        <v>14</v>
      </c>
      <c r="C15" s="15">
        <v>43879</v>
      </c>
      <c r="D15" s="16" t="s">
        <v>864</v>
      </c>
      <c r="E15" s="67">
        <f>WEEKNUM(Tabla167[[#This Row],[Fecha]],21)</f>
        <v>8</v>
      </c>
      <c r="F15" s="66">
        <v>17</v>
      </c>
      <c r="G15" s="66">
        <v>20</v>
      </c>
      <c r="H15" s="66">
        <v>23</v>
      </c>
      <c r="I15" s="66">
        <v>27</v>
      </c>
      <c r="J15" s="66">
        <v>44</v>
      </c>
      <c r="K15" s="66"/>
      <c r="L15" s="66"/>
      <c r="M15" s="66"/>
      <c r="N15" s="66"/>
      <c r="O15" s="18"/>
      <c r="P15" s="18">
        <v>2</v>
      </c>
      <c r="Q15" s="18">
        <v>8</v>
      </c>
      <c r="R15" s="18"/>
      <c r="S15" s="18"/>
      <c r="T15" s="18"/>
      <c r="U15" s="66"/>
      <c r="V15" s="66"/>
      <c r="W15" s="17">
        <v>2.5</v>
      </c>
      <c r="X15" s="68"/>
      <c r="Y15" s="68"/>
    </row>
    <row r="16" spans="1:25" x14ac:dyDescent="0.2">
      <c r="A16" s="66">
        <v>15</v>
      </c>
      <c r="B16" s="69">
        <v>15</v>
      </c>
      <c r="C16" s="15">
        <v>43882</v>
      </c>
      <c r="D16" s="16" t="s">
        <v>864</v>
      </c>
      <c r="E16" s="67">
        <f>WEEKNUM(Tabla167[[#This Row],[Fecha]],21)</f>
        <v>8</v>
      </c>
      <c r="F16" s="66">
        <v>20</v>
      </c>
      <c r="G16" s="66">
        <v>23</v>
      </c>
      <c r="H16" s="66">
        <v>24</v>
      </c>
      <c r="I16" s="66">
        <v>32</v>
      </c>
      <c r="J16" s="66">
        <v>38</v>
      </c>
      <c r="K16" s="66"/>
      <c r="L16" s="66"/>
      <c r="M16" s="66"/>
      <c r="N16" s="66"/>
      <c r="O16" s="18"/>
      <c r="P16" s="18">
        <v>6</v>
      </c>
      <c r="Q16" s="18">
        <v>10</v>
      </c>
      <c r="R16" s="18"/>
      <c r="S16" s="18"/>
      <c r="T16" s="18"/>
      <c r="U16" s="66"/>
      <c r="V16" s="66"/>
      <c r="W16" s="17">
        <v>2.5</v>
      </c>
      <c r="X16" s="68"/>
      <c r="Y16" s="68"/>
    </row>
    <row r="17" spans="1:25" x14ac:dyDescent="0.2">
      <c r="A17" s="66">
        <v>16</v>
      </c>
      <c r="B17" s="69">
        <v>16</v>
      </c>
      <c r="C17" s="15">
        <v>43886</v>
      </c>
      <c r="D17" s="16" t="s">
        <v>864</v>
      </c>
      <c r="E17" s="67">
        <f>WEEKNUM(Tabla167[[#This Row],[Fecha]],21)</f>
        <v>9</v>
      </c>
      <c r="F17" s="66">
        <v>5</v>
      </c>
      <c r="G17" s="66">
        <v>20</v>
      </c>
      <c r="H17" s="66">
        <v>23</v>
      </c>
      <c r="I17" s="66">
        <v>32</v>
      </c>
      <c r="J17" s="66">
        <v>44</v>
      </c>
      <c r="K17" s="66"/>
      <c r="L17" s="66"/>
      <c r="M17" s="66"/>
      <c r="N17" s="66"/>
      <c r="O17" s="18"/>
      <c r="P17" s="18">
        <v>2</v>
      </c>
      <c r="Q17" s="18">
        <v>6</v>
      </c>
      <c r="R17" s="18"/>
      <c r="S17" s="18"/>
      <c r="T17" s="18"/>
      <c r="U17" s="66"/>
      <c r="V17" s="66"/>
      <c r="W17" s="17">
        <v>2.5</v>
      </c>
      <c r="X17" s="68"/>
      <c r="Y17" s="68"/>
    </row>
    <row r="18" spans="1:25" x14ac:dyDescent="0.2">
      <c r="A18" s="5">
        <v>17</v>
      </c>
      <c r="B18" s="69">
        <v>17</v>
      </c>
      <c r="C18" s="15">
        <v>43889</v>
      </c>
      <c r="D18" s="16" t="s">
        <v>864</v>
      </c>
      <c r="E18" s="67">
        <f>WEEKNUM(Tabla167[[#This Row],[Fecha]],21)</f>
        <v>9</v>
      </c>
      <c r="F18" s="66">
        <v>17</v>
      </c>
      <c r="G18" s="66">
        <v>20</v>
      </c>
      <c r="H18" s="66">
        <v>23</v>
      </c>
      <c r="I18" s="66">
        <v>27</v>
      </c>
      <c r="J18" s="66">
        <v>44</v>
      </c>
      <c r="K18" s="66"/>
      <c r="L18" s="66"/>
      <c r="M18" s="66"/>
      <c r="N18" s="66"/>
      <c r="O18" s="18"/>
      <c r="P18" s="18">
        <v>2</v>
      </c>
      <c r="Q18" s="18">
        <v>8</v>
      </c>
      <c r="R18" s="18"/>
      <c r="S18" s="18"/>
      <c r="T18" s="18"/>
      <c r="U18" s="66"/>
      <c r="V18" s="66"/>
      <c r="W18" s="17">
        <v>2.5</v>
      </c>
      <c r="X18" s="68"/>
      <c r="Y18" s="68"/>
    </row>
    <row r="19" spans="1:25" x14ac:dyDescent="0.2">
      <c r="A19" s="66">
        <v>18</v>
      </c>
      <c r="B19" s="69">
        <v>18</v>
      </c>
      <c r="C19" s="15">
        <v>43893</v>
      </c>
      <c r="D19" s="16" t="s">
        <v>864</v>
      </c>
      <c r="E19" s="67">
        <f>WEEKNUM(Tabla167[[#This Row],[Fecha]],21)</f>
        <v>10</v>
      </c>
      <c r="F19" s="66">
        <v>17</v>
      </c>
      <c r="G19" s="66">
        <v>20</v>
      </c>
      <c r="H19" s="66">
        <v>23</v>
      </c>
      <c r="I19" s="66">
        <v>27</v>
      </c>
      <c r="J19" s="66">
        <v>44</v>
      </c>
      <c r="K19" s="66"/>
      <c r="L19" s="66"/>
      <c r="M19" s="66"/>
      <c r="N19" s="66"/>
      <c r="O19" s="18"/>
      <c r="P19" s="18">
        <v>2</v>
      </c>
      <c r="Q19" s="18">
        <v>8</v>
      </c>
      <c r="R19" s="18"/>
      <c r="S19" s="18"/>
      <c r="T19" s="18"/>
      <c r="U19" s="66"/>
      <c r="V19" s="66"/>
      <c r="W19" s="17">
        <v>2.5</v>
      </c>
      <c r="X19" s="68"/>
      <c r="Y19" s="68"/>
    </row>
    <row r="20" spans="1:25" x14ac:dyDescent="0.2">
      <c r="A20" s="66">
        <v>19</v>
      </c>
      <c r="B20" s="69">
        <v>19</v>
      </c>
      <c r="C20" s="15">
        <v>43896</v>
      </c>
      <c r="D20" s="16" t="s">
        <v>864</v>
      </c>
      <c r="E20" s="67">
        <f>WEEKNUM(Tabla167[[#This Row],[Fecha]],21)</f>
        <v>10</v>
      </c>
      <c r="F20" s="66">
        <v>11</v>
      </c>
      <c r="G20" s="66">
        <v>20</v>
      </c>
      <c r="H20" s="66">
        <v>23</v>
      </c>
      <c r="I20" s="66">
        <v>32</v>
      </c>
      <c r="J20" s="66">
        <v>35</v>
      </c>
      <c r="K20" s="66"/>
      <c r="L20" s="66"/>
      <c r="M20" s="66"/>
      <c r="N20" s="66"/>
      <c r="O20" s="18"/>
      <c r="P20" s="18">
        <v>6</v>
      </c>
      <c r="Q20" s="18">
        <v>10</v>
      </c>
      <c r="R20" s="18"/>
      <c r="S20" s="18"/>
      <c r="T20" s="18"/>
      <c r="U20" s="66"/>
      <c r="V20" s="66"/>
      <c r="W20" s="17">
        <v>2.5</v>
      </c>
      <c r="X20" s="68"/>
      <c r="Y20" s="68"/>
    </row>
    <row r="21" spans="1:25" x14ac:dyDescent="0.2">
      <c r="A21" s="66">
        <v>20</v>
      </c>
      <c r="B21" s="69">
        <v>20</v>
      </c>
      <c r="C21" s="15">
        <v>43900</v>
      </c>
      <c r="D21" s="16" t="s">
        <v>864</v>
      </c>
      <c r="E21" s="67">
        <f>WEEKNUM(Tabla167[[#This Row],[Fecha]],21)</f>
        <v>11</v>
      </c>
      <c r="F21" s="66">
        <v>20</v>
      </c>
      <c r="G21" s="66">
        <v>23</v>
      </c>
      <c r="H21" s="66">
        <v>27</v>
      </c>
      <c r="I21" s="66">
        <v>32</v>
      </c>
      <c r="J21" s="66">
        <v>45</v>
      </c>
      <c r="K21" s="66"/>
      <c r="L21" s="66"/>
      <c r="M21" s="66"/>
      <c r="N21" s="66"/>
      <c r="O21" s="18"/>
      <c r="P21" s="18">
        <v>6</v>
      </c>
      <c r="Q21" s="18">
        <v>10</v>
      </c>
      <c r="R21" s="18"/>
      <c r="S21" s="18"/>
      <c r="T21" s="18"/>
      <c r="U21" s="66"/>
      <c r="V21" s="66"/>
      <c r="W21" s="17">
        <v>2.5</v>
      </c>
      <c r="X21" s="68"/>
      <c r="Y21" s="68"/>
    </row>
    <row r="22" spans="1:25" x14ac:dyDescent="0.2">
      <c r="A22" s="5">
        <v>21</v>
      </c>
      <c r="B22" s="69">
        <v>21</v>
      </c>
      <c r="C22" s="15">
        <v>43903</v>
      </c>
      <c r="D22" s="16" t="s">
        <v>864</v>
      </c>
      <c r="E22" s="67">
        <f>WEEKNUM(Tabla167[[#This Row],[Fecha]],21)</f>
        <v>11</v>
      </c>
      <c r="F22" s="66">
        <v>17</v>
      </c>
      <c r="G22" s="66">
        <v>20</v>
      </c>
      <c r="H22" s="66">
        <v>23</v>
      </c>
      <c r="I22" s="66">
        <v>27</v>
      </c>
      <c r="J22" s="66">
        <v>44</v>
      </c>
      <c r="K22" s="66"/>
      <c r="L22" s="66"/>
      <c r="M22" s="66"/>
      <c r="N22" s="66"/>
      <c r="O22" s="18"/>
      <c r="P22" s="18">
        <v>2</v>
      </c>
      <c r="Q22" s="18">
        <v>8</v>
      </c>
      <c r="R22" s="18"/>
      <c r="S22" s="18"/>
      <c r="T22" s="18"/>
      <c r="U22" s="66"/>
      <c r="V22" s="66"/>
      <c r="W22" s="17">
        <v>2.5</v>
      </c>
      <c r="X22" s="68"/>
      <c r="Y22" s="68"/>
    </row>
    <row r="23" spans="1:25" x14ac:dyDescent="0.2">
      <c r="A23" s="66">
        <v>22</v>
      </c>
      <c r="B23" s="69">
        <v>22</v>
      </c>
      <c r="C23" s="15">
        <v>43970</v>
      </c>
      <c r="D23" s="16" t="s">
        <v>864</v>
      </c>
      <c r="E23" s="67">
        <f>WEEKNUM(Tabla167[[#This Row],[Fecha]],21)</f>
        <v>21</v>
      </c>
      <c r="F23" s="66">
        <v>17</v>
      </c>
      <c r="G23" s="66">
        <v>20</v>
      </c>
      <c r="H23" s="66">
        <v>23</v>
      </c>
      <c r="I23" s="66">
        <v>27</v>
      </c>
      <c r="J23" s="66">
        <v>44</v>
      </c>
      <c r="K23" s="66"/>
      <c r="L23" s="66"/>
      <c r="M23" s="66"/>
      <c r="N23" s="66"/>
      <c r="O23" s="18"/>
      <c r="P23" s="18">
        <v>2</v>
      </c>
      <c r="Q23" s="18">
        <v>8</v>
      </c>
      <c r="R23" s="18"/>
      <c r="S23" s="18"/>
      <c r="T23" s="18"/>
      <c r="U23" s="66"/>
      <c r="V23" s="66"/>
      <c r="W23" s="17">
        <v>2.5</v>
      </c>
      <c r="X23" s="68"/>
      <c r="Y23" s="68"/>
    </row>
    <row r="24" spans="1:25" x14ac:dyDescent="0.2">
      <c r="A24" s="66">
        <v>23</v>
      </c>
      <c r="B24" s="69">
        <v>23</v>
      </c>
      <c r="C24" s="15">
        <v>43973</v>
      </c>
      <c r="D24" s="16" t="s">
        <v>864</v>
      </c>
      <c r="E24" s="67">
        <f>WEEKNUM(Tabla167[[#This Row],[Fecha]],21)</f>
        <v>21</v>
      </c>
      <c r="F24" s="66">
        <v>45</v>
      </c>
      <c r="G24" s="66">
        <v>27</v>
      </c>
      <c r="H24" s="66">
        <v>23</v>
      </c>
      <c r="I24" s="66">
        <v>20</v>
      </c>
      <c r="J24" s="66">
        <v>11</v>
      </c>
      <c r="K24" s="66"/>
      <c r="L24" s="66"/>
      <c r="M24" s="66"/>
      <c r="N24" s="66"/>
      <c r="O24" s="18"/>
      <c r="P24" s="18">
        <v>10</v>
      </c>
      <c r="Q24" s="18">
        <v>12</v>
      </c>
      <c r="R24" s="18"/>
      <c r="S24" s="18"/>
      <c r="T24" s="18"/>
      <c r="U24" s="66"/>
      <c r="V24" s="66"/>
      <c r="W24" s="17">
        <v>2.5</v>
      </c>
      <c r="X24" s="68"/>
      <c r="Y24" s="68"/>
    </row>
    <row r="25" spans="1:25" x14ac:dyDescent="0.2">
      <c r="A25" s="66">
        <v>24</v>
      </c>
      <c r="B25" s="69">
        <v>24</v>
      </c>
      <c r="C25" s="15">
        <v>43977</v>
      </c>
      <c r="D25" s="16" t="s">
        <v>864</v>
      </c>
      <c r="E25" s="67">
        <f>WEEKNUM(Tabla167[[#This Row],[Fecha]],21)</f>
        <v>22</v>
      </c>
      <c r="F25" s="66">
        <v>3</v>
      </c>
      <c r="G25" s="66">
        <v>5</v>
      </c>
      <c r="H25" s="66">
        <v>20</v>
      </c>
      <c r="I25" s="66">
        <v>27</v>
      </c>
      <c r="J25" s="66">
        <v>43</v>
      </c>
      <c r="K25" s="66"/>
      <c r="L25" s="66"/>
      <c r="M25" s="66"/>
      <c r="N25" s="66"/>
      <c r="O25" s="18"/>
      <c r="P25" s="18">
        <v>2</v>
      </c>
      <c r="Q25" s="18">
        <v>12</v>
      </c>
      <c r="R25" s="18"/>
      <c r="S25" s="18"/>
      <c r="T25" s="18"/>
      <c r="U25" s="66"/>
      <c r="V25" s="66"/>
      <c r="W25" s="17">
        <v>2.5</v>
      </c>
      <c r="X25" s="68"/>
      <c r="Y25" s="68"/>
    </row>
    <row r="26" spans="1:25" x14ac:dyDescent="0.2">
      <c r="A26" s="5">
        <v>25</v>
      </c>
      <c r="B26" s="69">
        <v>25</v>
      </c>
      <c r="C26" s="15">
        <v>43980</v>
      </c>
      <c r="D26" s="16" t="s">
        <v>864</v>
      </c>
      <c r="E26" s="67">
        <f>WEEKNUM(Tabla167[[#This Row],[Fecha]],21)</f>
        <v>22</v>
      </c>
      <c r="F26" s="66">
        <v>1</v>
      </c>
      <c r="G26" s="66">
        <v>20</v>
      </c>
      <c r="H26" s="66">
        <v>27</v>
      </c>
      <c r="I26" s="66">
        <v>32</v>
      </c>
      <c r="J26" s="66">
        <v>42</v>
      </c>
      <c r="K26" s="66"/>
      <c r="L26" s="66"/>
      <c r="M26" s="66"/>
      <c r="N26" s="66"/>
      <c r="O26" s="18"/>
      <c r="P26" s="18">
        <v>2</v>
      </c>
      <c r="Q26" s="18">
        <v>6</v>
      </c>
      <c r="R26" s="18"/>
      <c r="S26" s="18"/>
      <c r="T26" s="18"/>
      <c r="U26" s="66"/>
      <c r="V26" s="66"/>
      <c r="W26" s="17">
        <v>2.5</v>
      </c>
      <c r="X26" s="68"/>
      <c r="Y26" s="68"/>
    </row>
    <row r="27" spans="1:25" x14ac:dyDescent="0.2">
      <c r="A27" s="66">
        <v>26</v>
      </c>
      <c r="B27" s="69">
        <v>26</v>
      </c>
      <c r="C27" s="15">
        <v>43984</v>
      </c>
      <c r="D27" s="16" t="s">
        <v>864</v>
      </c>
      <c r="E27" s="67">
        <f>WEEKNUM(Tabla167[[#This Row],[Fecha]],21)</f>
        <v>23</v>
      </c>
      <c r="F27" s="66">
        <v>3</v>
      </c>
      <c r="G27" s="66">
        <v>4</v>
      </c>
      <c r="H27" s="66">
        <v>8</v>
      </c>
      <c r="I27" s="66">
        <v>9</v>
      </c>
      <c r="J27" s="66">
        <v>32</v>
      </c>
      <c r="K27" s="66"/>
      <c r="L27" s="66"/>
      <c r="M27" s="66"/>
      <c r="N27" s="66"/>
      <c r="O27" s="18"/>
      <c r="P27" s="18">
        <v>6</v>
      </c>
      <c r="Q27" s="18">
        <v>12</v>
      </c>
      <c r="R27" s="18"/>
      <c r="S27" s="18"/>
      <c r="T27" s="18"/>
      <c r="U27" s="66"/>
      <c r="V27" s="66"/>
      <c r="W27" s="17">
        <v>2.5</v>
      </c>
      <c r="X27" s="68"/>
      <c r="Y27" s="68"/>
    </row>
    <row r="28" spans="1:25" x14ac:dyDescent="0.2">
      <c r="A28" s="66">
        <v>27</v>
      </c>
      <c r="B28" s="69">
        <v>27</v>
      </c>
      <c r="C28" s="15">
        <v>43987</v>
      </c>
      <c r="D28" s="16" t="s">
        <v>864</v>
      </c>
      <c r="E28" s="67">
        <f>WEEKNUM(Tabla167[[#This Row],[Fecha]],21)</f>
        <v>23</v>
      </c>
      <c r="F28" s="66">
        <v>4</v>
      </c>
      <c r="G28" s="66">
        <v>11</v>
      </c>
      <c r="H28" s="66">
        <v>20</v>
      </c>
      <c r="I28" s="66">
        <v>27</v>
      </c>
      <c r="J28" s="66">
        <v>32</v>
      </c>
      <c r="K28" s="66"/>
      <c r="L28" s="66"/>
      <c r="M28" s="66"/>
      <c r="N28" s="66"/>
      <c r="O28" s="18"/>
      <c r="P28" s="18">
        <v>6</v>
      </c>
      <c r="Q28" s="18">
        <v>4</v>
      </c>
      <c r="R28" s="18"/>
      <c r="S28" s="18"/>
      <c r="T28" s="18"/>
      <c r="U28" s="66"/>
      <c r="V28" s="66"/>
      <c r="W28" s="17">
        <v>2.5</v>
      </c>
      <c r="X28" s="68"/>
      <c r="Y28" s="68"/>
    </row>
    <row r="29" spans="1:25" x14ac:dyDescent="0.2">
      <c r="A29" s="66">
        <v>28</v>
      </c>
      <c r="B29" s="69">
        <v>28</v>
      </c>
      <c r="C29" s="15">
        <v>43991</v>
      </c>
      <c r="D29" s="16" t="s">
        <v>864</v>
      </c>
      <c r="E29" s="67">
        <f>WEEKNUM(Tabla167[[#This Row],[Fecha]],21)</f>
        <v>24</v>
      </c>
      <c r="F29" s="66">
        <v>3</v>
      </c>
      <c r="G29" s="66">
        <v>5</v>
      </c>
      <c r="H29" s="66">
        <v>20</v>
      </c>
      <c r="I29" s="66">
        <v>27</v>
      </c>
      <c r="J29" s="66">
        <v>37</v>
      </c>
      <c r="K29" s="66"/>
      <c r="L29" s="66"/>
      <c r="M29" s="66"/>
      <c r="N29" s="66"/>
      <c r="O29" s="18"/>
      <c r="P29" s="18">
        <v>6</v>
      </c>
      <c r="Q29" s="18">
        <v>7</v>
      </c>
      <c r="R29" s="18"/>
      <c r="S29" s="18"/>
      <c r="T29" s="18"/>
      <c r="U29" s="66"/>
      <c r="V29" s="66"/>
      <c r="W29" s="17">
        <v>2.5</v>
      </c>
      <c r="X29" s="68"/>
      <c r="Y29" s="68"/>
    </row>
    <row r="30" spans="1:25" x14ac:dyDescent="0.2">
      <c r="A30" s="5">
        <v>29</v>
      </c>
      <c r="B30" s="69">
        <v>29</v>
      </c>
      <c r="C30" s="15">
        <v>43994</v>
      </c>
      <c r="D30" s="16" t="s">
        <v>864</v>
      </c>
      <c r="E30" s="67">
        <f>WEEKNUM(Tabla167[[#This Row],[Fecha]],21)</f>
        <v>24</v>
      </c>
      <c r="F30" s="66">
        <v>17</v>
      </c>
      <c r="G30" s="66">
        <v>20</v>
      </c>
      <c r="H30" s="66">
        <v>23</v>
      </c>
      <c r="I30" s="66">
        <v>27</v>
      </c>
      <c r="J30" s="66">
        <v>44</v>
      </c>
      <c r="K30" s="66"/>
      <c r="L30" s="66"/>
      <c r="M30" s="66"/>
      <c r="N30" s="66"/>
      <c r="O30" s="18"/>
      <c r="P30" s="18">
        <v>2</v>
      </c>
      <c r="Q30" s="18">
        <v>8</v>
      </c>
      <c r="R30" s="18"/>
      <c r="S30" s="18"/>
      <c r="T30" s="18"/>
      <c r="U30" s="66"/>
      <c r="V30" s="66"/>
      <c r="W30" s="17">
        <v>2.5</v>
      </c>
      <c r="X30" s="68"/>
      <c r="Y30" s="68"/>
    </row>
    <row r="31" spans="1:25" x14ac:dyDescent="0.2">
      <c r="A31" s="66">
        <v>30</v>
      </c>
      <c r="B31" s="69">
        <v>30</v>
      </c>
      <c r="C31" s="15">
        <v>43998</v>
      </c>
      <c r="D31" s="16" t="s">
        <v>864</v>
      </c>
      <c r="E31" s="67">
        <f>WEEKNUM(Tabla167[[#This Row],[Fecha]],21)</f>
        <v>25</v>
      </c>
      <c r="F31" s="66">
        <v>5</v>
      </c>
      <c r="G31" s="66">
        <v>24</v>
      </c>
      <c r="H31" s="66">
        <v>27</v>
      </c>
      <c r="I31" s="66">
        <v>37</v>
      </c>
      <c r="J31" s="66">
        <v>46</v>
      </c>
      <c r="K31" s="66"/>
      <c r="L31" s="66"/>
      <c r="M31" s="66"/>
      <c r="N31" s="66"/>
      <c r="O31" s="18"/>
      <c r="P31" s="18">
        <v>8</v>
      </c>
      <c r="Q31" s="18">
        <v>7</v>
      </c>
      <c r="R31" s="18"/>
      <c r="S31" s="18"/>
      <c r="T31" s="18"/>
      <c r="U31" s="66"/>
      <c r="V31" s="66"/>
      <c r="W31" s="17">
        <v>2.5</v>
      </c>
      <c r="X31" s="68"/>
      <c r="Y31" s="68"/>
    </row>
    <row r="32" spans="1:25" x14ac:dyDescent="0.2">
      <c r="A32" s="66">
        <v>31</v>
      </c>
      <c r="B32" s="69">
        <v>31</v>
      </c>
      <c r="C32" s="15">
        <v>44001</v>
      </c>
      <c r="D32" s="16" t="s">
        <v>864</v>
      </c>
      <c r="E32" s="67">
        <f>WEEKNUM(Tabla167[[#This Row],[Fecha]],21)</f>
        <v>25</v>
      </c>
      <c r="F32" s="66">
        <v>11</v>
      </c>
      <c r="G32" s="66">
        <v>20</v>
      </c>
      <c r="H32" s="66">
        <v>23</v>
      </c>
      <c r="I32" s="66">
        <v>27</v>
      </c>
      <c r="J32" s="66">
        <v>46</v>
      </c>
      <c r="K32" s="66"/>
      <c r="L32" s="66"/>
      <c r="M32" s="66"/>
      <c r="N32" s="66"/>
      <c r="O32" s="18"/>
      <c r="P32" s="18">
        <v>6</v>
      </c>
      <c r="Q32" s="18">
        <v>4</v>
      </c>
      <c r="R32" s="18"/>
      <c r="S32" s="18"/>
      <c r="T32" s="18"/>
      <c r="U32" s="66"/>
      <c r="V32" s="66"/>
      <c r="W32" s="17">
        <v>2.5</v>
      </c>
      <c r="X32" s="68"/>
      <c r="Y32" s="68"/>
    </row>
    <row r="33" spans="1:25" x14ac:dyDescent="0.2">
      <c r="A33" s="66">
        <v>32</v>
      </c>
      <c r="B33" s="69">
        <v>32</v>
      </c>
      <c r="C33" s="15">
        <v>44005</v>
      </c>
      <c r="D33" s="16" t="s">
        <v>864</v>
      </c>
      <c r="E33" s="67">
        <f>WEEKNUM(Tabla167[[#This Row],[Fecha]],21)</f>
        <v>26</v>
      </c>
      <c r="F33" s="66">
        <v>4</v>
      </c>
      <c r="G33" s="66">
        <v>11</v>
      </c>
      <c r="H33" s="66">
        <v>17</v>
      </c>
      <c r="I33" s="66">
        <v>27</v>
      </c>
      <c r="J33" s="66">
        <v>46</v>
      </c>
      <c r="K33" s="66"/>
      <c r="L33" s="66"/>
      <c r="M33" s="66"/>
      <c r="N33" s="66"/>
      <c r="O33" s="18"/>
      <c r="P33" s="18">
        <v>2</v>
      </c>
      <c r="Q33" s="18">
        <v>8</v>
      </c>
      <c r="R33" s="18"/>
      <c r="S33" s="18"/>
      <c r="T33" s="18"/>
      <c r="U33" s="66"/>
      <c r="V33" s="66"/>
      <c r="W33" s="17">
        <v>2.5</v>
      </c>
      <c r="X33" s="68"/>
      <c r="Y33" s="68"/>
    </row>
    <row r="34" spans="1:25" x14ac:dyDescent="0.2">
      <c r="A34" s="5">
        <v>33</v>
      </c>
      <c r="B34" s="69">
        <v>33</v>
      </c>
      <c r="C34" s="15">
        <v>44008</v>
      </c>
      <c r="D34" s="16" t="s">
        <v>864</v>
      </c>
      <c r="E34" s="67">
        <f>WEEKNUM(Tabla167[[#This Row],[Fecha]],21)</f>
        <v>26</v>
      </c>
      <c r="F34" s="66">
        <v>20</v>
      </c>
      <c r="G34" s="66">
        <v>27</v>
      </c>
      <c r="H34" s="66">
        <v>32</v>
      </c>
      <c r="I34" s="66">
        <v>39</v>
      </c>
      <c r="J34" s="66">
        <v>42</v>
      </c>
      <c r="K34" s="66"/>
      <c r="L34" s="66"/>
      <c r="M34" s="66"/>
      <c r="N34" s="66"/>
      <c r="O34" s="18"/>
      <c r="P34" s="18">
        <v>2</v>
      </c>
      <c r="Q34" s="18">
        <v>6</v>
      </c>
      <c r="R34" s="18"/>
      <c r="S34" s="18"/>
      <c r="T34" s="18"/>
      <c r="U34" s="66"/>
      <c r="V34" s="66"/>
      <c r="W34" s="17">
        <v>2.5</v>
      </c>
      <c r="X34" s="68"/>
      <c r="Y34" s="68"/>
    </row>
    <row r="35" spans="1:25" x14ac:dyDescent="0.2">
      <c r="A35" s="5">
        <v>34</v>
      </c>
      <c r="B35" s="69">
        <v>34</v>
      </c>
      <c r="C35" s="15">
        <v>44012</v>
      </c>
      <c r="D35" s="16" t="s">
        <v>864</v>
      </c>
      <c r="E35" s="67">
        <f>WEEKNUM(Tabla167[[#This Row],[Fecha]],21)</f>
        <v>27</v>
      </c>
      <c r="F35" s="66">
        <v>4</v>
      </c>
      <c r="G35" s="66">
        <v>11</v>
      </c>
      <c r="H35" s="66">
        <v>17</v>
      </c>
      <c r="I35" s="66">
        <v>27</v>
      </c>
      <c r="J35" s="66">
        <v>46</v>
      </c>
      <c r="K35" s="66"/>
      <c r="L35" s="66"/>
      <c r="M35" s="66"/>
      <c r="N35" s="66"/>
      <c r="O35" s="18"/>
      <c r="P35" s="18">
        <v>4</v>
      </c>
      <c r="Q35" s="18">
        <v>8</v>
      </c>
      <c r="R35" s="18"/>
      <c r="S35" s="18"/>
      <c r="T35" s="18"/>
      <c r="U35" s="66"/>
      <c r="V35" s="66"/>
      <c r="W35" s="17">
        <v>2.5</v>
      </c>
      <c r="X35" s="68"/>
      <c r="Y35" s="68"/>
    </row>
    <row r="36" spans="1:25" x14ac:dyDescent="0.2">
      <c r="A36" s="5">
        <v>35</v>
      </c>
      <c r="B36" s="69">
        <v>35</v>
      </c>
      <c r="C36" s="15">
        <v>44015</v>
      </c>
      <c r="D36" s="16" t="s">
        <v>864</v>
      </c>
      <c r="E36" s="67">
        <f>WEEKNUM(Tabla167[[#This Row],[Fecha]],21)</f>
        <v>27</v>
      </c>
      <c r="F36" s="66">
        <v>11</v>
      </c>
      <c r="G36" s="66">
        <v>20</v>
      </c>
      <c r="H36" s="66">
        <v>23</v>
      </c>
      <c r="I36" s="66">
        <v>27</v>
      </c>
      <c r="J36" s="66">
        <v>46</v>
      </c>
      <c r="K36" s="66"/>
      <c r="L36" s="66"/>
      <c r="M36" s="66"/>
      <c r="N36" s="66"/>
      <c r="O36" s="18"/>
      <c r="P36" s="18">
        <v>6</v>
      </c>
      <c r="Q36" s="18">
        <v>4</v>
      </c>
      <c r="R36" s="18"/>
      <c r="S36" s="18"/>
      <c r="T36" s="18"/>
      <c r="U36" s="66"/>
      <c r="V36" s="66"/>
      <c r="W36" s="17">
        <v>2.5</v>
      </c>
      <c r="X36" s="68"/>
      <c r="Y36" s="68"/>
    </row>
    <row r="37" spans="1:25" x14ac:dyDescent="0.2">
      <c r="A37" s="5">
        <v>36</v>
      </c>
      <c r="B37" s="69">
        <v>36</v>
      </c>
      <c r="C37" s="15">
        <v>44019</v>
      </c>
      <c r="D37" s="16" t="s">
        <v>864</v>
      </c>
      <c r="E37" s="67">
        <f>WEEKNUM(Tabla167[[#This Row],[Fecha]],21)</f>
        <v>28</v>
      </c>
      <c r="F37" s="66">
        <v>17</v>
      </c>
      <c r="G37" s="66">
        <v>20</v>
      </c>
      <c r="H37" s="66">
        <v>23</v>
      </c>
      <c r="I37" s="66">
        <v>27</v>
      </c>
      <c r="J37" s="66">
        <v>44</v>
      </c>
      <c r="K37" s="66"/>
      <c r="L37" s="66"/>
      <c r="M37" s="66"/>
      <c r="N37" s="66"/>
      <c r="O37" s="18"/>
      <c r="P37" s="18">
        <v>2</v>
      </c>
      <c r="Q37" s="18">
        <v>8</v>
      </c>
      <c r="R37" s="18"/>
      <c r="S37" s="18"/>
      <c r="T37" s="18"/>
      <c r="U37" s="66"/>
      <c r="V37" s="66"/>
      <c r="W37" s="17">
        <v>2.5</v>
      </c>
      <c r="X37" s="68"/>
      <c r="Y37" s="68"/>
    </row>
    <row r="38" spans="1:25" x14ac:dyDescent="0.2">
      <c r="A38" s="5">
        <v>37</v>
      </c>
      <c r="B38" s="69">
        <v>37</v>
      </c>
      <c r="C38" s="15">
        <v>44022</v>
      </c>
      <c r="D38" s="16" t="s">
        <v>864</v>
      </c>
      <c r="E38" s="67">
        <f>WEEKNUM(Tabla167[[#This Row],[Fecha]],21)</f>
        <v>28</v>
      </c>
      <c r="F38" s="66">
        <v>5</v>
      </c>
      <c r="G38" s="66">
        <v>19</v>
      </c>
      <c r="H38" s="66">
        <v>27</v>
      </c>
      <c r="I38" s="66">
        <v>39</v>
      </c>
      <c r="J38" s="66">
        <v>46</v>
      </c>
      <c r="K38" s="66"/>
      <c r="L38" s="66"/>
      <c r="M38" s="66"/>
      <c r="N38" s="66"/>
      <c r="O38" s="18"/>
      <c r="P38" s="18">
        <v>2</v>
      </c>
      <c r="Q38" s="18">
        <v>8</v>
      </c>
      <c r="R38" s="18"/>
      <c r="S38" s="18"/>
      <c r="T38" s="18"/>
      <c r="U38" s="66"/>
      <c r="V38" s="66"/>
      <c r="W38" s="17">
        <v>2.5</v>
      </c>
      <c r="X38" s="68"/>
      <c r="Y38" s="68"/>
    </row>
    <row r="39" spans="1:25" x14ac:dyDescent="0.2">
      <c r="A39" s="5">
        <v>38</v>
      </c>
      <c r="B39" s="69">
        <v>38</v>
      </c>
      <c r="C39" s="15">
        <v>44026</v>
      </c>
      <c r="D39" s="16" t="s">
        <v>864</v>
      </c>
      <c r="E39" s="67">
        <f>WEEKNUM(Tabla167[[#This Row],[Fecha]],21)</f>
        <v>29</v>
      </c>
      <c r="F39" s="66">
        <v>17</v>
      </c>
      <c r="G39" s="66">
        <v>20</v>
      </c>
      <c r="H39" s="66">
        <v>23</v>
      </c>
      <c r="I39" s="66">
        <v>27</v>
      </c>
      <c r="J39" s="66">
        <v>44</v>
      </c>
      <c r="K39" s="66"/>
      <c r="L39" s="66"/>
      <c r="M39" s="66"/>
      <c r="N39" s="66"/>
      <c r="O39" s="18"/>
      <c r="P39" s="18">
        <v>2</v>
      </c>
      <c r="Q39" s="18">
        <v>8</v>
      </c>
      <c r="R39" s="18"/>
      <c r="S39" s="18"/>
      <c r="T39" s="18"/>
      <c r="U39" s="66"/>
      <c r="V39" s="66"/>
      <c r="W39" s="17">
        <v>2.5</v>
      </c>
      <c r="X39" s="68"/>
      <c r="Y39" s="68"/>
    </row>
    <row r="40" spans="1:25" x14ac:dyDescent="0.2">
      <c r="A40" s="5">
        <v>39</v>
      </c>
      <c r="B40" s="69">
        <v>39</v>
      </c>
      <c r="C40" s="15">
        <v>44029</v>
      </c>
      <c r="D40" s="16" t="s">
        <v>864</v>
      </c>
      <c r="E40" s="67">
        <f>WEEKNUM(Tabla167[[#This Row],[Fecha]],21)</f>
        <v>29</v>
      </c>
      <c r="F40" s="66">
        <v>12</v>
      </c>
      <c r="G40" s="66">
        <v>17</v>
      </c>
      <c r="H40" s="66">
        <v>19</v>
      </c>
      <c r="I40" s="66">
        <v>23</v>
      </c>
      <c r="J40" s="66">
        <v>39</v>
      </c>
      <c r="K40" s="66"/>
      <c r="L40" s="66"/>
      <c r="M40" s="66"/>
      <c r="N40" s="66"/>
      <c r="O40" s="18"/>
      <c r="P40" s="18">
        <v>2</v>
      </c>
      <c r="Q40" s="18">
        <v>10</v>
      </c>
      <c r="R40" s="18"/>
      <c r="S40" s="18"/>
      <c r="T40" s="18"/>
      <c r="U40" s="66"/>
      <c r="V40" s="66"/>
      <c r="W40" s="17">
        <v>2.5</v>
      </c>
      <c r="X40" s="68"/>
      <c r="Y40" s="68"/>
    </row>
    <row r="41" spans="1:25" x14ac:dyDescent="0.2">
      <c r="A41" s="5">
        <v>40</v>
      </c>
      <c r="B41" s="69">
        <v>40</v>
      </c>
      <c r="C41" s="15">
        <v>44033</v>
      </c>
      <c r="D41" s="16" t="s">
        <v>864</v>
      </c>
      <c r="E41" s="67">
        <f>WEEKNUM(Tabla167[[#This Row],[Fecha]],21)</f>
        <v>30</v>
      </c>
      <c r="F41" s="66">
        <v>12</v>
      </c>
      <c r="G41" s="66">
        <v>15</v>
      </c>
      <c r="H41" s="66">
        <v>23</v>
      </c>
      <c r="I41" s="66">
        <v>27</v>
      </c>
      <c r="J41" s="66">
        <v>30</v>
      </c>
      <c r="K41" s="66"/>
      <c r="L41" s="66"/>
      <c r="M41" s="66"/>
      <c r="N41" s="66"/>
      <c r="O41" s="18"/>
      <c r="P41" s="18">
        <v>2</v>
      </c>
      <c r="Q41" s="18">
        <v>10</v>
      </c>
      <c r="R41" s="18"/>
      <c r="S41" s="18"/>
      <c r="T41" s="18"/>
      <c r="U41" s="66"/>
      <c r="V41" s="66"/>
      <c r="W41" s="17">
        <v>2.5</v>
      </c>
      <c r="X41" s="68"/>
      <c r="Y41" s="68"/>
    </row>
    <row r="42" spans="1:25" x14ac:dyDescent="0.2">
      <c r="A42" s="5">
        <v>41</v>
      </c>
      <c r="B42" s="69">
        <v>41</v>
      </c>
      <c r="C42" s="15">
        <v>44036</v>
      </c>
      <c r="D42" s="16" t="s">
        <v>864</v>
      </c>
      <c r="E42" s="67">
        <f>WEEKNUM(Tabla167[[#This Row],[Fecha]],21)</f>
        <v>30</v>
      </c>
      <c r="F42" s="66">
        <v>23</v>
      </c>
      <c r="G42" s="66">
        <v>27</v>
      </c>
      <c r="H42" s="66">
        <v>32</v>
      </c>
      <c r="I42" s="66">
        <v>39</v>
      </c>
      <c r="J42" s="66">
        <v>42</v>
      </c>
      <c r="K42" s="66"/>
      <c r="L42" s="66"/>
      <c r="M42" s="66"/>
      <c r="N42" s="66"/>
      <c r="O42" s="18"/>
      <c r="P42" s="18">
        <v>2</v>
      </c>
      <c r="Q42" s="18">
        <v>6</v>
      </c>
      <c r="R42" s="18"/>
      <c r="S42" s="18"/>
      <c r="T42" s="18"/>
      <c r="U42" s="66"/>
      <c r="V42" s="66"/>
      <c r="W42" s="17">
        <v>2.5</v>
      </c>
      <c r="X42" s="68"/>
      <c r="Y42" s="68"/>
    </row>
    <row r="43" spans="1:25" x14ac:dyDescent="0.2">
      <c r="A43" s="5">
        <v>42</v>
      </c>
      <c r="B43" s="69">
        <v>42</v>
      </c>
      <c r="C43" s="15">
        <v>44040</v>
      </c>
      <c r="D43" s="16" t="s">
        <v>864</v>
      </c>
      <c r="E43" s="67">
        <f>WEEKNUM(Tabla167[[#This Row],[Fecha]],21)</f>
        <v>31</v>
      </c>
      <c r="F43" s="66">
        <v>17</v>
      </c>
      <c r="G43" s="66">
        <v>20</v>
      </c>
      <c r="H43" s="66">
        <v>23</v>
      </c>
      <c r="I43" s="66">
        <v>27</v>
      </c>
      <c r="J43" s="66">
        <v>44</v>
      </c>
      <c r="K43" s="66"/>
      <c r="L43" s="66"/>
      <c r="M43" s="66"/>
      <c r="N43" s="66"/>
      <c r="O43" s="18"/>
      <c r="P43" s="18">
        <v>2</v>
      </c>
      <c r="Q43" s="18">
        <v>8</v>
      </c>
      <c r="R43" s="18"/>
      <c r="S43" s="18"/>
      <c r="T43" s="18"/>
      <c r="U43" s="66"/>
      <c r="V43" s="66"/>
      <c r="W43" s="17">
        <v>2.5</v>
      </c>
      <c r="X43" s="68"/>
      <c r="Y43" s="68"/>
    </row>
    <row r="44" spans="1:25" x14ac:dyDescent="0.2">
      <c r="A44" s="5">
        <v>43</v>
      </c>
      <c r="B44" s="69">
        <v>43</v>
      </c>
      <c r="C44" s="15">
        <v>44043</v>
      </c>
      <c r="D44" s="16" t="s">
        <v>864</v>
      </c>
      <c r="E44" s="67">
        <f>WEEKNUM(Tabla167[[#This Row],[Fecha]],21)</f>
        <v>31</v>
      </c>
      <c r="F44" s="66">
        <v>15</v>
      </c>
      <c r="G44" s="66">
        <v>23</v>
      </c>
      <c r="H44" s="66">
        <v>27</v>
      </c>
      <c r="I44" s="66">
        <v>30</v>
      </c>
      <c r="J44" s="66">
        <v>42</v>
      </c>
      <c r="K44" s="66"/>
      <c r="L44" s="66"/>
      <c r="M44" s="66"/>
      <c r="N44" s="66"/>
      <c r="O44" s="18"/>
      <c r="P44" s="18">
        <v>2</v>
      </c>
      <c r="Q44" s="18">
        <v>10</v>
      </c>
      <c r="R44" s="18"/>
      <c r="S44" s="18"/>
      <c r="T44" s="18"/>
      <c r="U44" s="66"/>
      <c r="V44" s="66"/>
      <c r="W44" s="17">
        <v>2.5</v>
      </c>
      <c r="X44" s="68"/>
      <c r="Y44" s="68"/>
    </row>
    <row r="45" spans="1:25" x14ac:dyDescent="0.2">
      <c r="A45" s="5">
        <v>44</v>
      </c>
      <c r="B45" s="69">
        <v>44</v>
      </c>
      <c r="C45" s="15">
        <v>44047</v>
      </c>
      <c r="D45" s="16" t="s">
        <v>864</v>
      </c>
      <c r="E45" s="67">
        <f>WEEKNUM(Tabla167[[#This Row],[Fecha]],21)</f>
        <v>32</v>
      </c>
      <c r="F45" s="66">
        <v>15</v>
      </c>
      <c r="G45" s="66">
        <v>17</v>
      </c>
      <c r="H45" s="66">
        <v>24</v>
      </c>
      <c r="I45" s="66">
        <v>27</v>
      </c>
      <c r="J45" s="66">
        <v>46</v>
      </c>
      <c r="K45" s="66"/>
      <c r="L45" s="66"/>
      <c r="M45" s="66"/>
      <c r="N45" s="66"/>
      <c r="O45" s="18"/>
      <c r="P45" s="18">
        <v>2</v>
      </c>
      <c r="Q45" s="18">
        <v>8</v>
      </c>
      <c r="R45" s="18"/>
      <c r="S45" s="18"/>
      <c r="T45" s="18"/>
      <c r="U45" s="66"/>
      <c r="V45" s="66"/>
      <c r="W45" s="17">
        <v>2.5</v>
      </c>
      <c r="X45" s="68"/>
      <c r="Y45" s="68"/>
    </row>
    <row r="46" spans="1:25" x14ac:dyDescent="0.2">
      <c r="A46" s="5">
        <v>45</v>
      </c>
      <c r="B46" s="69">
        <v>45</v>
      </c>
      <c r="C46" s="15">
        <v>44050</v>
      </c>
      <c r="D46" s="16" t="s">
        <v>864</v>
      </c>
      <c r="E46" s="67">
        <f>WEEKNUM(Tabla167[[#This Row],[Fecha]],21)</f>
        <v>32</v>
      </c>
      <c r="F46" s="66">
        <v>15</v>
      </c>
      <c r="G46" s="66">
        <v>17</v>
      </c>
      <c r="H46" s="66">
        <v>23</v>
      </c>
      <c r="I46" s="66">
        <v>27</v>
      </c>
      <c r="J46" s="66">
        <v>44</v>
      </c>
      <c r="K46" s="66"/>
      <c r="L46" s="66"/>
      <c r="M46" s="66"/>
      <c r="N46" s="66"/>
      <c r="O46" s="18"/>
      <c r="P46" s="18">
        <v>2</v>
      </c>
      <c r="Q46" s="18">
        <v>8</v>
      </c>
      <c r="R46" s="18"/>
      <c r="S46" s="18"/>
      <c r="T46" s="18"/>
      <c r="U46" s="66"/>
      <c r="V46" s="66"/>
      <c r="W46" s="17">
        <v>2.5</v>
      </c>
      <c r="X46" s="68"/>
      <c r="Y46" s="68"/>
    </row>
    <row r="47" spans="1:25" x14ac:dyDescent="0.2">
      <c r="A47" s="5">
        <v>46</v>
      </c>
      <c r="B47" s="69">
        <v>46</v>
      </c>
      <c r="C47" s="15">
        <v>44054</v>
      </c>
      <c r="D47" s="16" t="s">
        <v>864</v>
      </c>
      <c r="E47" s="67">
        <f>WEEKNUM(Tabla167[[#This Row],[Fecha]],21)</f>
        <v>33</v>
      </c>
      <c r="F47" s="66">
        <v>15</v>
      </c>
      <c r="G47" s="66">
        <v>23</v>
      </c>
      <c r="H47" s="66">
        <v>27</v>
      </c>
      <c r="I47" s="66">
        <v>42</v>
      </c>
      <c r="J47" s="66">
        <v>44</v>
      </c>
      <c r="K47" s="66"/>
      <c r="L47" s="66"/>
      <c r="M47" s="66"/>
      <c r="N47" s="66"/>
      <c r="O47" s="18"/>
      <c r="P47" s="18">
        <v>2</v>
      </c>
      <c r="Q47" s="18">
        <v>3</v>
      </c>
      <c r="R47" s="18"/>
      <c r="S47" s="18"/>
      <c r="T47" s="18"/>
      <c r="U47" s="66"/>
      <c r="V47" s="66"/>
      <c r="W47" s="17">
        <v>2.5</v>
      </c>
      <c r="X47" s="68"/>
      <c r="Y47" s="68"/>
    </row>
    <row r="48" spans="1:25" x14ac:dyDescent="0.2">
      <c r="A48" s="5">
        <v>47</v>
      </c>
      <c r="B48" s="69">
        <v>47</v>
      </c>
      <c r="C48" s="15">
        <v>44057</v>
      </c>
      <c r="D48" s="16" t="s">
        <v>864</v>
      </c>
      <c r="E48" s="67">
        <f>WEEKNUM(Tabla167[[#This Row],[Fecha]],21)</f>
        <v>33</v>
      </c>
      <c r="F48" s="66">
        <v>15</v>
      </c>
      <c r="G48" s="66">
        <v>17</v>
      </c>
      <c r="H48" s="66">
        <v>23</v>
      </c>
      <c r="I48" s="66">
        <v>27</v>
      </c>
      <c r="J48" s="66">
        <v>44</v>
      </c>
      <c r="K48" s="66"/>
      <c r="L48" s="66"/>
      <c r="M48" s="66"/>
      <c r="N48" s="66"/>
      <c r="O48" s="18"/>
      <c r="P48" s="18">
        <v>2</v>
      </c>
      <c r="Q48" s="18">
        <v>8</v>
      </c>
      <c r="R48" s="18"/>
      <c r="S48" s="18"/>
      <c r="T48" s="18"/>
      <c r="U48" s="66"/>
      <c r="V48" s="66"/>
      <c r="W48" s="17">
        <v>2.5</v>
      </c>
      <c r="X48" s="68"/>
      <c r="Y48" s="68"/>
    </row>
  </sheetData>
  <dataConsolidate/>
  <pageMargins left="0.75" right="0.75" top="1" bottom="1" header="0" footer="0"/>
  <pageSetup paperSize="9" scale="87"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481FA-79D2-4E27-A235-34AD1EA7B6AF}">
  <sheetPr codeName="Hoja4"/>
  <dimension ref="A1:AL67"/>
  <sheetViews>
    <sheetView tabSelected="1" zoomScale="115" zoomScaleNormal="115" zoomScalePageLayoutView="85" workbookViewId="0">
      <selection activeCell="D5" sqref="D5"/>
    </sheetView>
  </sheetViews>
  <sheetFormatPr baseColWidth="10" defaultColWidth="4" defaultRowHeight="12.75" x14ac:dyDescent="0.2"/>
  <cols>
    <col min="1" max="1" width="4.5703125" style="23" bestFit="1" customWidth="1"/>
    <col min="2" max="2" width="10.140625" style="21" bestFit="1" customWidth="1"/>
    <col min="3" max="3" width="7.140625" style="21" bestFit="1" customWidth="1"/>
    <col min="4" max="4" width="56.28515625" style="23" bestFit="1" customWidth="1"/>
    <col min="5" max="13" width="5.5703125" style="23" bestFit="1" customWidth="1"/>
    <col min="14" max="15" width="6.5703125" style="23" bestFit="1" customWidth="1"/>
    <col min="16" max="16" width="4.28515625" style="23" bestFit="1" customWidth="1"/>
    <col min="17" max="17" width="3.5703125" style="23" bestFit="1" customWidth="1"/>
    <col min="18" max="19" width="3.28515625" style="23" bestFit="1" customWidth="1"/>
    <col min="20" max="20" width="3.5703125" style="23" bestFit="1" customWidth="1"/>
    <col min="21" max="22" width="3.28515625" style="23" bestFit="1" customWidth="1"/>
    <col min="23" max="23" width="9.85546875" style="23" bestFit="1" customWidth="1"/>
    <col min="24" max="24" width="6.28515625" style="23" bestFit="1" customWidth="1"/>
    <col min="25" max="25" width="2" style="23" bestFit="1" customWidth="1"/>
    <col min="26" max="26" width="5" style="23" bestFit="1" customWidth="1"/>
    <col min="27" max="34" width="3.28515625" style="23" bestFit="1" customWidth="1"/>
    <col min="35" max="35" width="9.85546875" style="23" bestFit="1" customWidth="1"/>
    <col min="36" max="36" width="6.28515625" style="23" bestFit="1" customWidth="1"/>
    <col min="37" max="37" width="2" style="23" bestFit="1" customWidth="1"/>
    <col min="38" max="38" width="5" style="23" bestFit="1" customWidth="1"/>
    <col min="39" max="43" width="3.28515625" style="23" bestFit="1" customWidth="1"/>
    <col min="44" max="45" width="6.28515625" style="23" bestFit="1" customWidth="1"/>
    <col min="46" max="60" width="3.28515625" style="23" bestFit="1" customWidth="1"/>
    <col min="61" max="61" width="9.85546875" style="23" bestFit="1" customWidth="1"/>
    <col min="62" max="62" width="6.28515625" style="23" bestFit="1" customWidth="1"/>
    <col min="63" max="63" width="2" style="23" bestFit="1" customWidth="1"/>
    <col min="64" max="64" width="5" style="23" bestFit="1" customWidth="1"/>
    <col min="65" max="93" width="3.28515625" style="23" bestFit="1" customWidth="1"/>
    <col min="94" max="94" width="9.85546875" style="23" bestFit="1" customWidth="1"/>
    <col min="95" max="95" width="6.28515625" style="23" bestFit="1" customWidth="1"/>
    <col min="96" max="96" width="2" style="23" bestFit="1" customWidth="1"/>
    <col min="97" max="97" width="5" style="23" bestFit="1" customWidth="1"/>
    <col min="98" max="147" width="3.28515625" style="23" bestFit="1" customWidth="1"/>
    <col min="148" max="149" width="9.85546875" style="23" bestFit="1" customWidth="1"/>
    <col min="150" max="150" width="3.28515625" style="23" bestFit="1" customWidth="1"/>
    <col min="151" max="151" width="6" style="23" bestFit="1" customWidth="1"/>
    <col min="152" max="16384" width="4" style="23"/>
  </cols>
  <sheetData>
    <row r="1" spans="1:38" x14ac:dyDescent="0.2">
      <c r="A1" s="20"/>
      <c r="D1" s="22"/>
    </row>
    <row r="2" spans="1:38" ht="77.25" x14ac:dyDescent="0.2">
      <c r="A2" s="24" t="s">
        <v>0</v>
      </c>
      <c r="B2" s="25" t="s">
        <v>1</v>
      </c>
      <c r="C2" s="25" t="s">
        <v>29</v>
      </c>
      <c r="D2" s="26" t="s">
        <v>30</v>
      </c>
      <c r="E2" s="26" t="s">
        <v>4</v>
      </c>
      <c r="F2" s="26" t="s">
        <v>5</v>
      </c>
      <c r="G2" s="26" t="s">
        <v>6</v>
      </c>
      <c r="H2" s="26" t="s">
        <v>7</v>
      </c>
      <c r="I2" s="26" t="s">
        <v>8</v>
      </c>
      <c r="J2" s="26" t="s">
        <v>21</v>
      </c>
      <c r="K2" s="26" t="s">
        <v>22</v>
      </c>
      <c r="L2" s="26" t="s">
        <v>23</v>
      </c>
      <c r="M2" s="26" t="s">
        <v>24</v>
      </c>
      <c r="N2" s="26" t="s">
        <v>31</v>
      </c>
      <c r="O2" s="26" t="s">
        <v>32</v>
      </c>
      <c r="P2" s="26" t="s">
        <v>33</v>
      </c>
      <c r="Q2" s="27" t="s">
        <v>958</v>
      </c>
      <c r="R2" s="27" t="s">
        <v>959</v>
      </c>
      <c r="S2" s="27" t="s">
        <v>34</v>
      </c>
      <c r="T2" s="27" t="s">
        <v>16</v>
      </c>
      <c r="U2" s="27" t="s">
        <v>29</v>
      </c>
      <c r="V2" s="27" t="s">
        <v>35</v>
      </c>
      <c r="W2" s="27"/>
    </row>
    <row r="3" spans="1:38" x14ac:dyDescent="0.2">
      <c r="A3" s="23">
        <v>26</v>
      </c>
      <c r="B3" s="33">
        <v>43897</v>
      </c>
      <c r="C3" s="34">
        <v>90</v>
      </c>
      <c r="D3" s="35" t="s">
        <v>37</v>
      </c>
      <c r="E3" s="34">
        <v>1</v>
      </c>
      <c r="F3" s="34">
        <v>25</v>
      </c>
      <c r="G3" s="34">
        <v>27</v>
      </c>
      <c r="H3" s="34">
        <v>29</v>
      </c>
      <c r="I3" s="34">
        <v>41</v>
      </c>
      <c r="J3" s="34">
        <v>43</v>
      </c>
      <c r="K3" s="34">
        <v>45</v>
      </c>
      <c r="L3" s="34">
        <v>46</v>
      </c>
      <c r="M3" s="34">
        <v>47</v>
      </c>
      <c r="N3" s="34">
        <v>48</v>
      </c>
      <c r="O3" s="34">
        <v>49</v>
      </c>
      <c r="P3" s="31"/>
      <c r="Q3" s="23">
        <v>1</v>
      </c>
      <c r="T3" s="23">
        <v>1</v>
      </c>
      <c r="W3" s="32">
        <v>1848</v>
      </c>
      <c r="X3" s="32">
        <v>0</v>
      </c>
      <c r="Y3" s="23">
        <v>2</v>
      </c>
      <c r="Z3" s="23">
        <v>400</v>
      </c>
      <c r="AI3" s="32">
        <v>2772</v>
      </c>
      <c r="AJ3" s="32">
        <v>0</v>
      </c>
      <c r="AK3" s="23">
        <v>4</v>
      </c>
      <c r="AL3" s="23">
        <v>1200</v>
      </c>
    </row>
    <row r="4" spans="1:38" x14ac:dyDescent="0.2">
      <c r="A4" s="23">
        <v>27</v>
      </c>
      <c r="B4" s="33">
        <v>43899</v>
      </c>
      <c r="C4" s="34">
        <v>90</v>
      </c>
      <c r="D4" s="35" t="s">
        <v>37</v>
      </c>
      <c r="E4" s="34">
        <v>1</v>
      </c>
      <c r="F4" s="34">
        <v>13</v>
      </c>
      <c r="G4" s="34">
        <v>19</v>
      </c>
      <c r="H4" s="34">
        <v>26</v>
      </c>
      <c r="I4" s="34">
        <v>27</v>
      </c>
      <c r="J4" s="34">
        <v>29</v>
      </c>
      <c r="K4" s="34">
        <v>32</v>
      </c>
      <c r="L4" s="34">
        <v>42</v>
      </c>
      <c r="M4" s="34">
        <v>43</v>
      </c>
      <c r="N4" s="34">
        <v>47</v>
      </c>
      <c r="O4" s="34">
        <v>49</v>
      </c>
      <c r="P4" s="31"/>
      <c r="Q4" s="70" t="s">
        <v>917</v>
      </c>
      <c r="W4" s="32">
        <v>1848</v>
      </c>
      <c r="X4" s="32">
        <v>0</v>
      </c>
      <c r="Y4" s="23">
        <v>1</v>
      </c>
      <c r="Z4" s="23">
        <v>400</v>
      </c>
      <c r="AI4" s="32">
        <v>2772</v>
      </c>
      <c r="AJ4" s="32">
        <v>0</v>
      </c>
      <c r="AK4" s="23">
        <v>3</v>
      </c>
      <c r="AL4" s="23">
        <v>800</v>
      </c>
    </row>
    <row r="5" spans="1:38" x14ac:dyDescent="0.2">
      <c r="A5" s="23">
        <v>49</v>
      </c>
      <c r="B5" s="28">
        <v>43992</v>
      </c>
      <c r="C5" s="29">
        <v>15</v>
      </c>
      <c r="D5" s="30" t="s">
        <v>51</v>
      </c>
      <c r="E5" s="29">
        <v>49</v>
      </c>
      <c r="F5" s="29">
        <v>20</v>
      </c>
      <c r="G5" s="29">
        <v>33</v>
      </c>
      <c r="H5" s="29">
        <v>45</v>
      </c>
      <c r="I5" s="29">
        <v>2</v>
      </c>
      <c r="J5" s="29">
        <v>15</v>
      </c>
      <c r="P5" s="31"/>
      <c r="W5" s="32">
        <v>0</v>
      </c>
      <c r="X5" s="32">
        <v>0</v>
      </c>
      <c r="Y5" s="23">
        <v>0</v>
      </c>
      <c r="Z5" s="23">
        <v>0</v>
      </c>
      <c r="AI5" s="32">
        <v>2772</v>
      </c>
      <c r="AJ5" s="32">
        <v>0</v>
      </c>
      <c r="AK5" s="23">
        <v>3</v>
      </c>
      <c r="AL5" s="23">
        <v>600</v>
      </c>
    </row>
    <row r="6" spans="1:38" x14ac:dyDescent="0.2">
      <c r="A6" s="23">
        <v>54</v>
      </c>
      <c r="B6" s="36">
        <v>43997</v>
      </c>
      <c r="C6" s="37">
        <v>15</v>
      </c>
      <c r="D6" s="38" t="s">
        <v>41</v>
      </c>
      <c r="E6" s="37">
        <v>46</v>
      </c>
      <c r="F6" s="37">
        <v>42</v>
      </c>
      <c r="G6" s="37">
        <v>32</v>
      </c>
      <c r="H6" s="37">
        <v>8</v>
      </c>
      <c r="I6" s="37">
        <v>21</v>
      </c>
      <c r="J6" s="37">
        <v>19</v>
      </c>
      <c r="P6" s="31"/>
      <c r="Q6" s="23">
        <v>1</v>
      </c>
      <c r="W6" s="32">
        <v>2</v>
      </c>
      <c r="X6" s="32">
        <v>0</v>
      </c>
      <c r="Y6" s="23">
        <v>1</v>
      </c>
      <c r="Z6" s="23">
        <v>200</v>
      </c>
      <c r="AI6" s="32">
        <v>2772</v>
      </c>
      <c r="AJ6" s="32">
        <v>0</v>
      </c>
      <c r="AK6" s="23">
        <v>4</v>
      </c>
      <c r="AL6" s="23">
        <v>1200</v>
      </c>
    </row>
    <row r="7" spans="1:38" x14ac:dyDescent="0.2">
      <c r="A7" s="23">
        <v>60</v>
      </c>
      <c r="B7" s="36">
        <v>43997</v>
      </c>
      <c r="C7" s="37">
        <v>15</v>
      </c>
      <c r="D7" s="38" t="s">
        <v>45</v>
      </c>
      <c r="E7" s="37">
        <v>46</v>
      </c>
      <c r="F7" s="37">
        <v>42</v>
      </c>
      <c r="G7" s="37">
        <v>32</v>
      </c>
      <c r="H7" s="37">
        <v>30</v>
      </c>
      <c r="I7" s="37">
        <v>19</v>
      </c>
      <c r="J7" s="37">
        <v>3</v>
      </c>
      <c r="P7" s="31"/>
      <c r="Q7" s="23">
        <v>1</v>
      </c>
      <c r="W7" s="32">
        <v>2</v>
      </c>
      <c r="X7" s="32">
        <v>0</v>
      </c>
      <c r="Y7" s="23">
        <v>1</v>
      </c>
      <c r="Z7" s="23">
        <v>200</v>
      </c>
      <c r="AI7" s="32">
        <v>2772</v>
      </c>
      <c r="AJ7" s="32">
        <v>0</v>
      </c>
      <c r="AK7" s="23">
        <v>4</v>
      </c>
      <c r="AL7" s="23">
        <v>1200</v>
      </c>
    </row>
    <row r="8" spans="1:38" x14ac:dyDescent="0.2">
      <c r="A8" s="23">
        <v>13</v>
      </c>
      <c r="B8" s="33">
        <v>43885</v>
      </c>
      <c r="C8" s="34">
        <v>90</v>
      </c>
      <c r="D8" s="35" t="s">
        <v>37</v>
      </c>
      <c r="E8" s="34">
        <v>11</v>
      </c>
      <c r="F8" s="34">
        <v>17</v>
      </c>
      <c r="G8" s="34">
        <v>18</v>
      </c>
      <c r="H8" s="34">
        <v>20</v>
      </c>
      <c r="I8" s="34">
        <v>23</v>
      </c>
      <c r="J8" s="34">
        <v>27</v>
      </c>
      <c r="K8" s="34">
        <v>32</v>
      </c>
      <c r="L8" s="34">
        <v>41</v>
      </c>
      <c r="M8" s="34">
        <v>44</v>
      </c>
      <c r="N8" s="34">
        <v>46</v>
      </c>
      <c r="O8" s="34">
        <v>48</v>
      </c>
      <c r="P8" s="31"/>
      <c r="T8" s="70" t="s">
        <v>917</v>
      </c>
      <c r="W8" s="32">
        <v>1848</v>
      </c>
      <c r="X8" s="32">
        <v>0</v>
      </c>
      <c r="Y8" s="23">
        <v>1</v>
      </c>
      <c r="Z8" s="23">
        <v>400</v>
      </c>
      <c r="AI8" s="32">
        <v>2772</v>
      </c>
      <c r="AJ8" s="32">
        <v>0</v>
      </c>
      <c r="AK8" s="23">
        <v>1</v>
      </c>
      <c r="AL8" s="23">
        <v>200</v>
      </c>
    </row>
    <row r="9" spans="1:38" x14ac:dyDescent="0.2">
      <c r="A9" s="23">
        <v>17</v>
      </c>
      <c r="B9" s="39">
        <v>43888</v>
      </c>
      <c r="C9" s="40">
        <v>90</v>
      </c>
      <c r="D9" s="41" t="s">
        <v>39</v>
      </c>
      <c r="E9" s="40">
        <v>4</v>
      </c>
      <c r="F9" s="40">
        <v>8</v>
      </c>
      <c r="G9" s="40">
        <v>12</v>
      </c>
      <c r="H9" s="40">
        <v>21</v>
      </c>
      <c r="I9" s="40">
        <v>22</v>
      </c>
      <c r="J9" s="40">
        <v>27</v>
      </c>
      <c r="K9" s="40">
        <v>29</v>
      </c>
      <c r="L9" s="40">
        <v>41</v>
      </c>
      <c r="M9" s="40">
        <v>43</v>
      </c>
      <c r="N9" s="40">
        <v>44</v>
      </c>
      <c r="O9" s="40">
        <v>47</v>
      </c>
      <c r="P9" s="31"/>
      <c r="T9" s="70" t="s">
        <v>917</v>
      </c>
      <c r="W9" s="32">
        <v>1848</v>
      </c>
      <c r="X9" s="32">
        <v>0</v>
      </c>
      <c r="Y9" s="23">
        <v>1</v>
      </c>
      <c r="Z9" s="23">
        <v>400</v>
      </c>
      <c r="AI9" s="32">
        <v>2772</v>
      </c>
      <c r="AJ9" s="32">
        <v>0</v>
      </c>
      <c r="AK9" s="23">
        <v>3</v>
      </c>
      <c r="AL9" s="23">
        <v>800</v>
      </c>
    </row>
    <row r="10" spans="1:38" x14ac:dyDescent="0.2">
      <c r="A10" s="23">
        <v>18</v>
      </c>
      <c r="B10" s="28">
        <v>43888</v>
      </c>
      <c r="C10" s="29">
        <v>90</v>
      </c>
      <c r="D10" s="30" t="s">
        <v>36</v>
      </c>
      <c r="E10" s="29">
        <v>1</v>
      </c>
      <c r="F10" s="29">
        <v>6</v>
      </c>
      <c r="G10" s="29">
        <v>9</v>
      </c>
      <c r="H10" s="29">
        <v>10</v>
      </c>
      <c r="I10" s="29">
        <v>13</v>
      </c>
      <c r="J10" s="29">
        <v>14</v>
      </c>
      <c r="K10" s="29">
        <v>17</v>
      </c>
      <c r="L10" s="29">
        <v>19</v>
      </c>
      <c r="M10" s="29">
        <v>38</v>
      </c>
      <c r="N10" s="29">
        <v>41</v>
      </c>
      <c r="O10" s="29">
        <v>44</v>
      </c>
      <c r="P10" s="31"/>
      <c r="Q10" s="23">
        <v>1</v>
      </c>
      <c r="T10" s="23">
        <v>1</v>
      </c>
      <c r="W10" s="32">
        <v>1848</v>
      </c>
      <c r="X10" s="32">
        <v>0</v>
      </c>
      <c r="Y10" s="23">
        <v>2</v>
      </c>
      <c r="Z10" s="23">
        <v>400</v>
      </c>
      <c r="AI10" s="32">
        <v>2772</v>
      </c>
      <c r="AJ10" s="32">
        <v>0</v>
      </c>
      <c r="AK10" s="23">
        <v>2</v>
      </c>
      <c r="AL10" s="23">
        <v>1000</v>
      </c>
    </row>
    <row r="11" spans="1:38" x14ac:dyDescent="0.2">
      <c r="A11" s="23">
        <v>19</v>
      </c>
      <c r="B11" s="33">
        <v>43890</v>
      </c>
      <c r="C11" s="34">
        <v>90</v>
      </c>
      <c r="D11" s="35" t="s">
        <v>37</v>
      </c>
      <c r="E11" s="34">
        <v>1</v>
      </c>
      <c r="F11" s="34">
        <v>4</v>
      </c>
      <c r="G11" s="34">
        <v>10</v>
      </c>
      <c r="H11" s="34">
        <v>14</v>
      </c>
      <c r="I11" s="34">
        <v>23</v>
      </c>
      <c r="J11" s="34">
        <v>30</v>
      </c>
      <c r="K11" s="34">
        <v>33</v>
      </c>
      <c r="L11" s="34">
        <v>37</v>
      </c>
      <c r="M11" s="34">
        <v>41</v>
      </c>
      <c r="N11" s="34">
        <v>48</v>
      </c>
      <c r="O11" s="34">
        <v>49</v>
      </c>
      <c r="P11" s="31"/>
      <c r="Q11" s="23">
        <v>1</v>
      </c>
      <c r="T11" s="23">
        <v>1</v>
      </c>
      <c r="W11" s="32">
        <v>1848</v>
      </c>
      <c r="X11" s="32">
        <v>0</v>
      </c>
      <c r="Y11" s="23">
        <v>2</v>
      </c>
      <c r="Z11" s="23">
        <v>400</v>
      </c>
      <c r="AI11" s="32">
        <v>2772</v>
      </c>
      <c r="AJ11" s="32">
        <v>0</v>
      </c>
      <c r="AK11" s="23">
        <v>4</v>
      </c>
      <c r="AL11" s="23">
        <v>1400</v>
      </c>
    </row>
    <row r="12" spans="1:38" x14ac:dyDescent="0.2">
      <c r="A12" s="23">
        <v>20</v>
      </c>
      <c r="B12" s="36">
        <v>43892</v>
      </c>
      <c r="C12" s="37">
        <v>90</v>
      </c>
      <c r="D12" s="38" t="s">
        <v>38</v>
      </c>
      <c r="E12" s="37">
        <v>3</v>
      </c>
      <c r="F12" s="37">
        <v>19</v>
      </c>
      <c r="G12" s="37">
        <v>20</v>
      </c>
      <c r="H12" s="37">
        <v>22</v>
      </c>
      <c r="I12" s="37">
        <v>24</v>
      </c>
      <c r="J12" s="37">
        <v>25</v>
      </c>
      <c r="K12" s="37">
        <v>27</v>
      </c>
      <c r="L12" s="37">
        <v>28</v>
      </c>
      <c r="M12" s="37">
        <v>34</v>
      </c>
      <c r="N12" s="37">
        <v>36</v>
      </c>
      <c r="O12" s="37">
        <v>44</v>
      </c>
      <c r="P12" s="31"/>
      <c r="T12" s="70" t="s">
        <v>917</v>
      </c>
      <c r="W12" s="32">
        <v>1848</v>
      </c>
      <c r="X12" s="32">
        <v>0</v>
      </c>
      <c r="Y12" s="23">
        <v>1</v>
      </c>
      <c r="Z12" s="23">
        <v>400</v>
      </c>
      <c r="AI12" s="32">
        <v>2772</v>
      </c>
      <c r="AJ12" s="32">
        <v>0</v>
      </c>
      <c r="AK12" s="23">
        <v>4</v>
      </c>
      <c r="AL12" s="23">
        <v>1200</v>
      </c>
    </row>
    <row r="13" spans="1:38" x14ac:dyDescent="0.2">
      <c r="A13" s="23">
        <v>21</v>
      </c>
      <c r="B13" s="39">
        <v>43893</v>
      </c>
      <c r="C13" s="40">
        <v>90</v>
      </c>
      <c r="D13" s="41" t="s">
        <v>39</v>
      </c>
      <c r="E13" s="40">
        <v>17</v>
      </c>
      <c r="F13" s="40">
        <v>21</v>
      </c>
      <c r="G13" s="40">
        <v>24</v>
      </c>
      <c r="H13" s="40">
        <v>25</v>
      </c>
      <c r="I13" s="40">
        <v>27</v>
      </c>
      <c r="J13" s="40">
        <v>30</v>
      </c>
      <c r="K13" s="40">
        <v>33</v>
      </c>
      <c r="L13" s="40">
        <v>34</v>
      </c>
      <c r="M13" s="40">
        <v>37</v>
      </c>
      <c r="N13" s="40">
        <v>38</v>
      </c>
      <c r="O13" s="40">
        <v>49</v>
      </c>
      <c r="P13" s="31"/>
      <c r="T13" s="23">
        <v>1</v>
      </c>
      <c r="W13" s="32">
        <v>1848</v>
      </c>
      <c r="X13" s="32">
        <v>0</v>
      </c>
      <c r="Y13" s="23">
        <v>1</v>
      </c>
      <c r="Z13" s="23">
        <v>200</v>
      </c>
      <c r="AI13" s="32">
        <v>2772</v>
      </c>
      <c r="AJ13" s="32">
        <v>0</v>
      </c>
      <c r="AK13" s="23">
        <v>4</v>
      </c>
      <c r="AL13" s="23">
        <v>1200</v>
      </c>
    </row>
    <row r="14" spans="1:38" x14ac:dyDescent="0.2">
      <c r="A14" s="23">
        <v>23</v>
      </c>
      <c r="B14" s="33">
        <v>43894</v>
      </c>
      <c r="C14" s="34">
        <v>90</v>
      </c>
      <c r="D14" s="35" t="s">
        <v>37</v>
      </c>
      <c r="E14" s="34">
        <v>17</v>
      </c>
      <c r="F14" s="34">
        <v>24</v>
      </c>
      <c r="G14" s="34">
        <v>25</v>
      </c>
      <c r="H14" s="34">
        <v>27</v>
      </c>
      <c r="I14" s="34">
        <v>32</v>
      </c>
      <c r="J14" s="34">
        <v>34</v>
      </c>
      <c r="K14" s="34">
        <v>38</v>
      </c>
      <c r="L14" s="34">
        <v>40</v>
      </c>
      <c r="M14" s="34">
        <v>45</v>
      </c>
      <c r="N14" s="34">
        <v>46</v>
      </c>
      <c r="O14" s="34">
        <v>47</v>
      </c>
      <c r="P14" s="31"/>
      <c r="W14" s="32">
        <v>1848</v>
      </c>
      <c r="X14" s="32">
        <v>0</v>
      </c>
      <c r="Y14" s="23">
        <v>0</v>
      </c>
      <c r="Z14" s="23">
        <v>0</v>
      </c>
      <c r="AI14" s="32">
        <v>2772</v>
      </c>
      <c r="AJ14" s="32">
        <v>0</v>
      </c>
      <c r="AK14" s="23">
        <v>4</v>
      </c>
      <c r="AL14" s="23">
        <v>1000</v>
      </c>
    </row>
    <row r="15" spans="1:38" x14ac:dyDescent="0.2">
      <c r="A15" s="23">
        <v>25</v>
      </c>
      <c r="B15" s="36">
        <v>43896</v>
      </c>
      <c r="C15" s="37">
        <v>90</v>
      </c>
      <c r="D15" s="38" t="s">
        <v>38</v>
      </c>
      <c r="E15" s="37">
        <v>6</v>
      </c>
      <c r="F15" s="37">
        <v>13</v>
      </c>
      <c r="G15" s="37">
        <v>18</v>
      </c>
      <c r="H15" s="37">
        <v>20</v>
      </c>
      <c r="I15" s="37">
        <v>26</v>
      </c>
      <c r="J15" s="37">
        <v>36</v>
      </c>
      <c r="K15" s="37">
        <v>40</v>
      </c>
      <c r="L15" s="37">
        <v>42</v>
      </c>
      <c r="M15" s="37">
        <v>43</v>
      </c>
      <c r="N15" s="37">
        <v>44</v>
      </c>
      <c r="O15" s="37">
        <v>49</v>
      </c>
      <c r="P15" s="31"/>
      <c r="Q15" s="23">
        <v>1</v>
      </c>
      <c r="T15" s="70" t="s">
        <v>917</v>
      </c>
      <c r="W15" s="32">
        <v>1848</v>
      </c>
      <c r="X15" s="32">
        <v>0</v>
      </c>
      <c r="Y15" s="23">
        <v>2</v>
      </c>
      <c r="Z15" s="23">
        <v>600</v>
      </c>
      <c r="AI15" s="32">
        <v>2772</v>
      </c>
      <c r="AJ15" s="32">
        <v>0</v>
      </c>
      <c r="AK15" s="23">
        <v>3</v>
      </c>
      <c r="AL15" s="23">
        <v>800</v>
      </c>
    </row>
    <row r="16" spans="1:38" x14ac:dyDescent="0.2">
      <c r="A16" s="23">
        <v>33</v>
      </c>
      <c r="B16" s="28">
        <v>43983</v>
      </c>
      <c r="C16" s="29">
        <v>15</v>
      </c>
      <c r="D16" s="30" t="s">
        <v>41</v>
      </c>
      <c r="E16" s="29">
        <v>4</v>
      </c>
      <c r="F16" s="29">
        <v>13</v>
      </c>
      <c r="G16" s="29">
        <v>14</v>
      </c>
      <c r="H16" s="29">
        <v>17</v>
      </c>
      <c r="I16" s="29">
        <v>34</v>
      </c>
      <c r="J16" s="29">
        <v>35</v>
      </c>
      <c r="K16" s="29">
        <v>39</v>
      </c>
      <c r="L16" s="29">
        <v>41</v>
      </c>
      <c r="M16" s="29">
        <v>42</v>
      </c>
      <c r="N16" s="29">
        <v>43</v>
      </c>
      <c r="O16" s="29">
        <v>46</v>
      </c>
      <c r="P16" s="31"/>
      <c r="W16" s="32">
        <v>0</v>
      </c>
      <c r="X16" s="32">
        <v>0</v>
      </c>
      <c r="Y16" s="23">
        <v>0</v>
      </c>
      <c r="Z16" s="23">
        <v>0</v>
      </c>
      <c r="AI16" s="32">
        <v>2772</v>
      </c>
      <c r="AJ16" s="32">
        <v>0</v>
      </c>
      <c r="AK16" s="23">
        <v>2</v>
      </c>
      <c r="AL16" s="23">
        <v>400</v>
      </c>
    </row>
    <row r="17" spans="1:38" x14ac:dyDescent="0.2">
      <c r="A17" s="23">
        <v>34</v>
      </c>
      <c r="B17" s="28">
        <v>43990</v>
      </c>
      <c r="C17" s="29">
        <v>15</v>
      </c>
      <c r="D17" s="30" t="s">
        <v>42</v>
      </c>
      <c r="E17" s="29">
        <v>3</v>
      </c>
      <c r="F17" s="29">
        <v>5</v>
      </c>
      <c r="G17" s="29">
        <v>7</v>
      </c>
      <c r="H17" s="29">
        <v>10</v>
      </c>
      <c r="I17" s="29">
        <v>11</v>
      </c>
      <c r="J17" s="29">
        <v>25</v>
      </c>
      <c r="K17" s="29">
        <v>27</v>
      </c>
      <c r="L17" s="29">
        <v>38</v>
      </c>
      <c r="M17" s="29">
        <v>47</v>
      </c>
      <c r="N17" s="29">
        <v>49</v>
      </c>
      <c r="P17" s="31"/>
      <c r="W17" s="32">
        <v>0</v>
      </c>
      <c r="X17" s="32">
        <v>0</v>
      </c>
      <c r="Y17" s="23">
        <v>0</v>
      </c>
      <c r="Z17" s="23">
        <v>0</v>
      </c>
      <c r="AI17" s="32">
        <v>2772</v>
      </c>
      <c r="AJ17" s="32">
        <v>0</v>
      </c>
      <c r="AK17" s="23">
        <v>2</v>
      </c>
      <c r="AL17" s="23">
        <v>400</v>
      </c>
    </row>
    <row r="18" spans="1:38" x14ac:dyDescent="0.2">
      <c r="A18" s="23">
        <v>35</v>
      </c>
      <c r="B18" s="36">
        <v>43991</v>
      </c>
      <c r="C18" s="37">
        <v>15</v>
      </c>
      <c r="D18" s="38" t="s">
        <v>41</v>
      </c>
      <c r="E18" s="37">
        <v>19</v>
      </c>
      <c r="F18" s="37">
        <v>24</v>
      </c>
      <c r="G18" s="37">
        <v>39</v>
      </c>
      <c r="H18" s="37">
        <v>43</v>
      </c>
      <c r="I18" s="37">
        <v>45</v>
      </c>
      <c r="J18" s="37">
        <v>48</v>
      </c>
      <c r="P18" s="31"/>
      <c r="W18" s="32">
        <v>0</v>
      </c>
      <c r="X18" s="32">
        <v>0</v>
      </c>
      <c r="Y18" s="23">
        <v>0</v>
      </c>
      <c r="Z18" s="23">
        <v>0</v>
      </c>
      <c r="AI18" s="32">
        <v>2772</v>
      </c>
      <c r="AJ18" s="32">
        <v>0</v>
      </c>
      <c r="AK18" s="23">
        <v>1</v>
      </c>
      <c r="AL18" s="23">
        <v>200</v>
      </c>
    </row>
    <row r="19" spans="1:38" x14ac:dyDescent="0.2">
      <c r="A19" s="23">
        <v>38</v>
      </c>
      <c r="B19" s="36">
        <v>43991</v>
      </c>
      <c r="C19" s="37">
        <v>15</v>
      </c>
      <c r="D19" s="38" t="s">
        <v>45</v>
      </c>
      <c r="E19" s="37">
        <v>19</v>
      </c>
      <c r="F19" s="37">
        <v>24</v>
      </c>
      <c r="G19" s="37">
        <v>39</v>
      </c>
      <c r="H19" s="37">
        <v>43</v>
      </c>
      <c r="I19" s="37">
        <v>45</v>
      </c>
      <c r="J19" s="37">
        <v>48</v>
      </c>
      <c r="P19" s="31"/>
      <c r="W19" s="32">
        <v>0</v>
      </c>
      <c r="X19" s="32">
        <v>0</v>
      </c>
      <c r="Y19" s="23">
        <v>0</v>
      </c>
      <c r="Z19" s="23">
        <v>0</v>
      </c>
      <c r="AI19" s="32">
        <v>2772</v>
      </c>
      <c r="AJ19" s="32">
        <v>0</v>
      </c>
      <c r="AK19" s="23">
        <v>3</v>
      </c>
      <c r="AL19" s="23">
        <v>800</v>
      </c>
    </row>
    <row r="20" spans="1:38" x14ac:dyDescent="0.2">
      <c r="A20" s="23">
        <v>40</v>
      </c>
      <c r="B20" s="36">
        <v>43991</v>
      </c>
      <c r="C20" s="37">
        <v>15</v>
      </c>
      <c r="D20" s="38" t="s">
        <v>47</v>
      </c>
      <c r="E20" s="37">
        <v>13</v>
      </c>
      <c r="F20" s="37">
        <v>14</v>
      </c>
      <c r="G20" s="37">
        <v>17</v>
      </c>
      <c r="H20" s="37">
        <v>18</v>
      </c>
      <c r="I20" s="37">
        <v>43</v>
      </c>
      <c r="J20" s="37">
        <v>46</v>
      </c>
      <c r="P20" s="31"/>
      <c r="W20" s="32">
        <v>0</v>
      </c>
      <c r="X20" s="32">
        <v>0</v>
      </c>
      <c r="Y20" s="23">
        <v>0</v>
      </c>
      <c r="Z20" s="23">
        <v>0</v>
      </c>
      <c r="AI20" s="32">
        <v>2772</v>
      </c>
      <c r="AJ20" s="32">
        <v>0</v>
      </c>
      <c r="AK20" s="23">
        <v>2</v>
      </c>
      <c r="AL20" s="23">
        <v>800</v>
      </c>
    </row>
    <row r="21" spans="1:38" x14ac:dyDescent="0.2">
      <c r="A21" s="23">
        <v>41</v>
      </c>
      <c r="B21" s="28">
        <v>43992</v>
      </c>
      <c r="C21" s="29">
        <v>15</v>
      </c>
      <c r="D21" s="30" t="s">
        <v>47</v>
      </c>
      <c r="E21" s="29">
        <v>18</v>
      </c>
      <c r="F21" s="29">
        <v>46</v>
      </c>
      <c r="G21" s="29">
        <v>11</v>
      </c>
      <c r="H21" s="29">
        <v>13</v>
      </c>
      <c r="I21" s="29">
        <v>14</v>
      </c>
      <c r="J21" s="29">
        <v>17</v>
      </c>
      <c r="P21" s="31"/>
      <c r="W21" s="32">
        <v>0</v>
      </c>
      <c r="X21" s="32">
        <v>0</v>
      </c>
      <c r="Y21" s="23">
        <v>0</v>
      </c>
      <c r="Z21" s="23">
        <v>0</v>
      </c>
      <c r="AI21" s="32">
        <v>2772</v>
      </c>
      <c r="AJ21" s="32">
        <v>0</v>
      </c>
      <c r="AK21" s="23">
        <v>4</v>
      </c>
      <c r="AL21" s="23">
        <v>1000</v>
      </c>
    </row>
    <row r="22" spans="1:38" x14ac:dyDescent="0.2">
      <c r="A22" s="23">
        <v>42</v>
      </c>
      <c r="B22" s="28">
        <v>43992</v>
      </c>
      <c r="C22" s="29">
        <v>15</v>
      </c>
      <c r="D22" s="30" t="s">
        <v>41</v>
      </c>
      <c r="E22" s="29">
        <v>43</v>
      </c>
      <c r="F22" s="29">
        <v>34</v>
      </c>
      <c r="G22" s="29">
        <v>6</v>
      </c>
      <c r="H22" s="29">
        <v>19</v>
      </c>
      <c r="I22" s="29">
        <v>11</v>
      </c>
      <c r="J22" s="29">
        <v>35</v>
      </c>
      <c r="P22" s="31"/>
      <c r="W22" s="32">
        <v>0</v>
      </c>
      <c r="X22" s="32">
        <v>0</v>
      </c>
      <c r="Y22" s="23">
        <v>0</v>
      </c>
      <c r="Z22" s="23">
        <v>0</v>
      </c>
      <c r="AI22" s="32">
        <v>42</v>
      </c>
      <c r="AJ22" s="32">
        <v>0</v>
      </c>
      <c r="AK22" s="23">
        <v>2</v>
      </c>
      <c r="AL22" s="23">
        <v>400</v>
      </c>
    </row>
    <row r="23" spans="1:38" x14ac:dyDescent="0.2">
      <c r="A23" s="23">
        <v>47</v>
      </c>
      <c r="B23" s="28">
        <v>43992</v>
      </c>
      <c r="C23" s="29">
        <v>15</v>
      </c>
      <c r="D23" s="30" t="s">
        <v>50</v>
      </c>
      <c r="E23" s="29">
        <v>20</v>
      </c>
      <c r="F23" s="29">
        <v>28</v>
      </c>
      <c r="G23" s="29">
        <v>41</v>
      </c>
      <c r="H23" s="29">
        <v>21</v>
      </c>
      <c r="I23" s="29">
        <v>15</v>
      </c>
      <c r="J23" s="29">
        <v>49</v>
      </c>
      <c r="P23" s="31"/>
      <c r="W23" s="32">
        <v>0</v>
      </c>
      <c r="X23" s="32">
        <v>0</v>
      </c>
      <c r="Y23" s="23">
        <v>0</v>
      </c>
      <c r="Z23" s="23">
        <v>0</v>
      </c>
      <c r="AI23" s="32">
        <v>2772</v>
      </c>
      <c r="AJ23" s="32">
        <v>0</v>
      </c>
      <c r="AK23" s="23">
        <v>4</v>
      </c>
      <c r="AL23" s="23">
        <v>1400</v>
      </c>
    </row>
    <row r="24" spans="1:38" x14ac:dyDescent="0.2">
      <c r="A24" s="23">
        <v>48</v>
      </c>
      <c r="B24" s="28">
        <v>43992</v>
      </c>
      <c r="C24" s="29">
        <v>15</v>
      </c>
      <c r="D24" s="30" t="s">
        <v>45</v>
      </c>
      <c r="E24" s="29">
        <v>43</v>
      </c>
      <c r="F24" s="29">
        <v>34</v>
      </c>
      <c r="G24" s="29">
        <v>6</v>
      </c>
      <c r="H24" s="29">
        <v>19</v>
      </c>
      <c r="I24" s="29">
        <v>11</v>
      </c>
      <c r="J24" s="29">
        <v>35</v>
      </c>
      <c r="P24" s="31"/>
      <c r="W24" s="32">
        <v>0</v>
      </c>
      <c r="X24" s="32">
        <v>0</v>
      </c>
      <c r="Y24" s="23">
        <v>0</v>
      </c>
      <c r="Z24" s="23">
        <v>0</v>
      </c>
      <c r="AI24" s="32">
        <v>2079</v>
      </c>
      <c r="AJ24" s="32">
        <v>0</v>
      </c>
      <c r="AK24" s="23">
        <v>2</v>
      </c>
      <c r="AL24" s="23">
        <v>400</v>
      </c>
    </row>
    <row r="25" spans="1:38" x14ac:dyDescent="0.2">
      <c r="A25" s="23">
        <v>51</v>
      </c>
      <c r="B25" s="28">
        <v>43992</v>
      </c>
      <c r="C25" s="29">
        <v>15</v>
      </c>
      <c r="D25" s="30" t="s">
        <v>52</v>
      </c>
      <c r="E25" s="29">
        <v>10</v>
      </c>
      <c r="F25" s="29">
        <v>26</v>
      </c>
      <c r="G25" s="29">
        <v>5</v>
      </c>
      <c r="H25" s="29">
        <v>46</v>
      </c>
      <c r="I25" s="29">
        <v>4</v>
      </c>
      <c r="J25" s="29">
        <v>16</v>
      </c>
      <c r="P25" s="31"/>
      <c r="W25" s="32">
        <v>0</v>
      </c>
      <c r="X25" s="32">
        <v>0</v>
      </c>
      <c r="Y25" s="23">
        <v>0</v>
      </c>
      <c r="Z25" s="23">
        <v>0</v>
      </c>
      <c r="AI25" s="32">
        <v>630</v>
      </c>
      <c r="AJ25" s="32">
        <v>0</v>
      </c>
      <c r="AK25" s="23">
        <v>2</v>
      </c>
      <c r="AL25" s="23">
        <v>600</v>
      </c>
    </row>
    <row r="26" spans="1:38" x14ac:dyDescent="0.2">
      <c r="A26" s="23">
        <v>52</v>
      </c>
      <c r="B26" s="28">
        <v>43992</v>
      </c>
      <c r="C26" s="29">
        <v>15</v>
      </c>
      <c r="D26" s="30" t="s">
        <v>53</v>
      </c>
      <c r="E26" s="29">
        <v>2</v>
      </c>
      <c r="F26" s="29">
        <v>4</v>
      </c>
      <c r="G26" s="29">
        <v>8</v>
      </c>
      <c r="H26" s="29">
        <v>1</v>
      </c>
      <c r="I26" s="29">
        <v>6</v>
      </c>
      <c r="J26" s="29">
        <v>17</v>
      </c>
      <c r="P26" s="31"/>
      <c r="W26" s="32">
        <v>0</v>
      </c>
      <c r="X26" s="32">
        <v>0</v>
      </c>
      <c r="Y26" s="23">
        <v>0</v>
      </c>
      <c r="Z26" s="23">
        <v>0</v>
      </c>
      <c r="AI26" s="32">
        <v>3</v>
      </c>
      <c r="AJ26" s="32">
        <v>0</v>
      </c>
      <c r="AK26" s="23">
        <v>0</v>
      </c>
      <c r="AL26" s="23">
        <v>0</v>
      </c>
    </row>
    <row r="27" spans="1:38" x14ac:dyDescent="0.2">
      <c r="A27" s="23">
        <v>53</v>
      </c>
      <c r="B27" s="36">
        <v>43997</v>
      </c>
      <c r="C27" s="37">
        <v>15</v>
      </c>
      <c r="D27" s="38" t="s">
        <v>47</v>
      </c>
      <c r="E27" s="37">
        <v>46</v>
      </c>
      <c r="F27" s="37">
        <v>18</v>
      </c>
      <c r="G27" s="37">
        <v>14</v>
      </c>
      <c r="H27" s="37">
        <v>17</v>
      </c>
      <c r="I27" s="37">
        <v>11</v>
      </c>
      <c r="J27" s="37">
        <v>29</v>
      </c>
      <c r="P27" s="31"/>
      <c r="W27" s="32">
        <v>2</v>
      </c>
      <c r="X27" s="32">
        <v>0</v>
      </c>
      <c r="Y27" s="23">
        <v>0</v>
      </c>
      <c r="Z27" s="23">
        <v>0</v>
      </c>
      <c r="AI27" s="32">
        <v>3</v>
      </c>
      <c r="AJ27" s="32">
        <v>0</v>
      </c>
      <c r="AK27" s="23">
        <v>2</v>
      </c>
      <c r="AL27" s="23">
        <v>400</v>
      </c>
    </row>
    <row r="28" spans="1:38" x14ac:dyDescent="0.2">
      <c r="A28" s="23">
        <v>59</v>
      </c>
      <c r="B28" s="36">
        <v>43997</v>
      </c>
      <c r="C28" s="37">
        <v>15</v>
      </c>
      <c r="D28" s="38" t="s">
        <v>50</v>
      </c>
      <c r="E28" s="37">
        <v>18</v>
      </c>
      <c r="F28" s="37">
        <v>37</v>
      </c>
      <c r="G28" s="37">
        <v>13</v>
      </c>
      <c r="H28" s="37">
        <v>19</v>
      </c>
      <c r="I28" s="37">
        <v>3</v>
      </c>
      <c r="J28" s="37">
        <v>8</v>
      </c>
      <c r="P28" s="31"/>
      <c r="W28" s="32">
        <v>2</v>
      </c>
      <c r="X28" s="32">
        <v>0</v>
      </c>
      <c r="Y28" s="23">
        <v>0</v>
      </c>
      <c r="Z28" s="23">
        <v>0</v>
      </c>
      <c r="AI28" s="32">
        <v>3</v>
      </c>
      <c r="AJ28" s="32">
        <v>0</v>
      </c>
      <c r="AK28" s="23">
        <v>1</v>
      </c>
      <c r="AL28" s="23">
        <v>200</v>
      </c>
    </row>
    <row r="29" spans="1:38" x14ac:dyDescent="0.2">
      <c r="A29" s="23">
        <v>61</v>
      </c>
      <c r="B29" s="36">
        <v>43997</v>
      </c>
      <c r="C29" s="37">
        <v>15</v>
      </c>
      <c r="D29" s="38" t="s">
        <v>51</v>
      </c>
      <c r="E29" s="37">
        <v>45</v>
      </c>
      <c r="F29" s="37">
        <v>5</v>
      </c>
      <c r="G29" s="37">
        <v>35</v>
      </c>
      <c r="H29" s="37">
        <v>23</v>
      </c>
      <c r="I29" s="37">
        <v>34</v>
      </c>
      <c r="J29" s="37">
        <v>12</v>
      </c>
      <c r="P29" s="31"/>
      <c r="Q29" s="23">
        <v>1</v>
      </c>
      <c r="W29" s="32">
        <v>2</v>
      </c>
      <c r="X29" s="32">
        <v>0</v>
      </c>
      <c r="Y29" s="23">
        <v>1</v>
      </c>
      <c r="Z29" s="23">
        <v>200</v>
      </c>
      <c r="AI29" s="32">
        <v>3</v>
      </c>
      <c r="AJ29" s="32">
        <v>0</v>
      </c>
      <c r="AK29" s="23">
        <v>0</v>
      </c>
      <c r="AL29" s="23">
        <v>0</v>
      </c>
    </row>
    <row r="30" spans="1:38" x14ac:dyDescent="0.2">
      <c r="A30" s="23">
        <v>64</v>
      </c>
      <c r="B30" s="36">
        <v>43997</v>
      </c>
      <c r="C30" s="37">
        <v>15</v>
      </c>
      <c r="D30" s="38" t="s">
        <v>53</v>
      </c>
      <c r="E30" s="37">
        <v>12</v>
      </c>
      <c r="F30" s="37">
        <v>3</v>
      </c>
      <c r="G30" s="37">
        <v>7</v>
      </c>
      <c r="H30" s="37">
        <v>14</v>
      </c>
      <c r="I30" s="37">
        <v>5</v>
      </c>
      <c r="J30" s="37">
        <v>8</v>
      </c>
      <c r="P30" s="31"/>
      <c r="Q30" s="23">
        <v>1</v>
      </c>
      <c r="W30" s="32">
        <v>2</v>
      </c>
      <c r="X30" s="32">
        <v>0</v>
      </c>
      <c r="Y30" s="23">
        <v>1</v>
      </c>
      <c r="Z30" s="23">
        <v>200</v>
      </c>
      <c r="AI30" s="32">
        <v>3</v>
      </c>
      <c r="AJ30" s="32">
        <v>0</v>
      </c>
      <c r="AK30" s="23">
        <v>2</v>
      </c>
      <c r="AL30" s="23">
        <v>400</v>
      </c>
    </row>
    <row r="31" spans="1:38" x14ac:dyDescent="0.2">
      <c r="A31" s="23">
        <v>65</v>
      </c>
      <c r="B31" s="28">
        <v>43999</v>
      </c>
      <c r="C31" s="29">
        <v>15</v>
      </c>
      <c r="D31" s="30" t="s">
        <v>41</v>
      </c>
      <c r="E31" s="29">
        <v>43</v>
      </c>
      <c r="F31" s="29">
        <v>42</v>
      </c>
      <c r="G31" s="29">
        <v>32</v>
      </c>
      <c r="H31" s="29">
        <v>19</v>
      </c>
      <c r="I31" s="29">
        <v>14</v>
      </c>
      <c r="J31" s="29">
        <v>17</v>
      </c>
      <c r="P31" s="31"/>
      <c r="Q31" s="23">
        <v>1</v>
      </c>
      <c r="W31" s="32">
        <v>4</v>
      </c>
      <c r="X31" s="32">
        <v>0</v>
      </c>
      <c r="Y31" s="23">
        <v>1</v>
      </c>
      <c r="Z31" s="23">
        <v>200</v>
      </c>
      <c r="AI31" s="32">
        <v>3</v>
      </c>
      <c r="AJ31" s="32">
        <v>0</v>
      </c>
      <c r="AK31" s="23">
        <v>1</v>
      </c>
      <c r="AL31" s="23">
        <v>200</v>
      </c>
    </row>
    <row r="32" spans="1:38" x14ac:dyDescent="0.2">
      <c r="A32" s="23">
        <v>67</v>
      </c>
      <c r="B32" s="28">
        <v>43999</v>
      </c>
      <c r="C32" s="29">
        <v>15</v>
      </c>
      <c r="D32" s="30" t="s">
        <v>54</v>
      </c>
      <c r="E32" s="29">
        <v>29</v>
      </c>
      <c r="F32" s="29">
        <v>46</v>
      </c>
      <c r="G32" s="29">
        <v>22</v>
      </c>
      <c r="H32" s="29">
        <v>35</v>
      </c>
      <c r="I32" s="29">
        <v>5</v>
      </c>
      <c r="J32" s="29">
        <v>23</v>
      </c>
      <c r="P32" s="31"/>
      <c r="Q32" s="23">
        <v>1</v>
      </c>
      <c r="T32" s="23">
        <v>1</v>
      </c>
      <c r="W32" s="32">
        <v>4</v>
      </c>
      <c r="X32" s="32">
        <v>0</v>
      </c>
      <c r="Y32" s="23">
        <v>2</v>
      </c>
      <c r="Z32" s="23">
        <v>400</v>
      </c>
      <c r="AI32" s="32">
        <v>3</v>
      </c>
      <c r="AJ32" s="32">
        <v>0</v>
      </c>
      <c r="AK32" s="23">
        <v>1</v>
      </c>
      <c r="AL32" s="23">
        <v>200</v>
      </c>
    </row>
    <row r="33" spans="1:38" x14ac:dyDescent="0.2">
      <c r="A33" s="23">
        <v>71</v>
      </c>
      <c r="B33" s="28">
        <v>43999</v>
      </c>
      <c r="C33" s="29">
        <v>15</v>
      </c>
      <c r="D33" s="30" t="s">
        <v>45</v>
      </c>
      <c r="E33" s="29">
        <v>43</v>
      </c>
      <c r="F33" s="29">
        <v>19</v>
      </c>
      <c r="G33" s="29">
        <v>14</v>
      </c>
      <c r="H33" s="29">
        <v>32</v>
      </c>
      <c r="I33" s="29">
        <v>17</v>
      </c>
      <c r="J33" s="29">
        <v>45</v>
      </c>
      <c r="P33" s="31"/>
      <c r="W33" s="32">
        <v>4</v>
      </c>
      <c r="X33" s="32">
        <v>0</v>
      </c>
      <c r="Y33" s="23">
        <v>0</v>
      </c>
      <c r="Z33" s="23">
        <v>0</v>
      </c>
      <c r="AI33" s="32">
        <v>3</v>
      </c>
      <c r="AJ33" s="32">
        <v>0</v>
      </c>
      <c r="AK33" s="23">
        <v>0</v>
      </c>
      <c r="AL33" s="23">
        <v>0</v>
      </c>
    </row>
    <row r="34" spans="1:38" x14ac:dyDescent="0.2">
      <c r="A34" s="23">
        <v>74</v>
      </c>
      <c r="B34" s="28">
        <v>43999</v>
      </c>
      <c r="C34" s="29">
        <v>15</v>
      </c>
      <c r="D34" s="30" t="s">
        <v>52</v>
      </c>
      <c r="E34" s="29">
        <v>45</v>
      </c>
      <c r="F34" s="29">
        <v>37</v>
      </c>
      <c r="G34" s="29">
        <v>24</v>
      </c>
      <c r="H34" s="29">
        <v>11</v>
      </c>
      <c r="I34" s="29">
        <v>21</v>
      </c>
      <c r="J34" s="29">
        <v>2</v>
      </c>
      <c r="P34" s="31"/>
      <c r="Q34" s="23">
        <v>1</v>
      </c>
      <c r="T34" s="23">
        <v>1</v>
      </c>
      <c r="W34" s="32">
        <v>4</v>
      </c>
      <c r="X34" s="32">
        <v>0</v>
      </c>
      <c r="Y34" s="23">
        <v>2</v>
      </c>
      <c r="Z34" s="23">
        <v>400</v>
      </c>
      <c r="AI34" s="32">
        <v>3</v>
      </c>
      <c r="AJ34" s="32">
        <v>0</v>
      </c>
      <c r="AK34" s="23">
        <v>2</v>
      </c>
      <c r="AL34" s="23">
        <v>400</v>
      </c>
    </row>
    <row r="35" spans="1:38" x14ac:dyDescent="0.2">
      <c r="A35" s="23">
        <v>75</v>
      </c>
      <c r="B35" s="28">
        <v>43999</v>
      </c>
      <c r="C35" s="29">
        <v>15</v>
      </c>
      <c r="D35" s="30" t="s">
        <v>53</v>
      </c>
      <c r="E35" s="29">
        <v>8</v>
      </c>
      <c r="F35" s="29">
        <v>4</v>
      </c>
      <c r="G35" s="29">
        <v>3</v>
      </c>
      <c r="H35" s="29">
        <v>13</v>
      </c>
      <c r="I35" s="29">
        <v>2</v>
      </c>
      <c r="J35" s="29">
        <v>14</v>
      </c>
      <c r="P35" s="31"/>
      <c r="Q35" s="23">
        <v>1</v>
      </c>
      <c r="W35" s="32">
        <v>4</v>
      </c>
      <c r="X35" s="32">
        <v>0</v>
      </c>
      <c r="Y35" s="23">
        <v>1</v>
      </c>
      <c r="Z35" s="23">
        <v>200</v>
      </c>
      <c r="AI35" s="32">
        <v>3</v>
      </c>
      <c r="AJ35" s="32">
        <v>0</v>
      </c>
      <c r="AK35" s="23">
        <v>0</v>
      </c>
      <c r="AL35" s="23">
        <v>0</v>
      </c>
    </row>
    <row r="36" spans="1:38" x14ac:dyDescent="0.2">
      <c r="A36" s="23">
        <v>76</v>
      </c>
      <c r="B36" s="28">
        <v>43999</v>
      </c>
      <c r="C36" s="29">
        <v>15</v>
      </c>
      <c r="D36" s="30" t="s">
        <v>47</v>
      </c>
      <c r="E36" s="29">
        <v>14</v>
      </c>
      <c r="F36" s="29">
        <v>46</v>
      </c>
      <c r="G36" s="29">
        <v>17</v>
      </c>
      <c r="H36" s="29">
        <v>18</v>
      </c>
      <c r="I36" s="29">
        <v>32</v>
      </c>
      <c r="J36" s="29">
        <v>42</v>
      </c>
      <c r="P36" s="31"/>
      <c r="Q36" s="23">
        <v>1</v>
      </c>
      <c r="W36" s="32">
        <v>4</v>
      </c>
      <c r="X36" s="32">
        <v>0</v>
      </c>
      <c r="Y36" s="23">
        <v>1</v>
      </c>
      <c r="Z36" s="23">
        <v>200</v>
      </c>
      <c r="AI36" s="32">
        <v>3</v>
      </c>
      <c r="AJ36" s="32">
        <v>0</v>
      </c>
      <c r="AK36" s="23">
        <v>1</v>
      </c>
      <c r="AL36" s="23">
        <v>200</v>
      </c>
    </row>
    <row r="37" spans="1:38" x14ac:dyDescent="0.2">
      <c r="A37" s="23">
        <v>12</v>
      </c>
      <c r="B37" s="28">
        <v>43885</v>
      </c>
      <c r="C37" s="29">
        <v>90</v>
      </c>
      <c r="D37" s="30" t="s">
        <v>36</v>
      </c>
      <c r="E37" s="29">
        <v>3</v>
      </c>
      <c r="F37" s="29">
        <v>6</v>
      </c>
      <c r="G37" s="29">
        <v>10</v>
      </c>
      <c r="H37" s="29">
        <v>13</v>
      </c>
      <c r="I37" s="29">
        <v>14</v>
      </c>
      <c r="J37" s="29">
        <v>17</v>
      </c>
      <c r="K37" s="29">
        <v>24</v>
      </c>
      <c r="L37" s="29">
        <v>38</v>
      </c>
      <c r="M37" s="29">
        <v>39</v>
      </c>
      <c r="N37" s="29">
        <v>41</v>
      </c>
      <c r="O37" s="29">
        <v>44</v>
      </c>
      <c r="P37" s="31"/>
      <c r="T37" s="23">
        <v>1</v>
      </c>
      <c r="W37" s="32">
        <v>1848</v>
      </c>
      <c r="X37" s="32">
        <v>0</v>
      </c>
      <c r="Y37" s="23">
        <v>1</v>
      </c>
      <c r="Z37" s="23">
        <v>200</v>
      </c>
      <c r="AI37" s="32">
        <v>3</v>
      </c>
      <c r="AJ37" s="32">
        <v>0</v>
      </c>
      <c r="AK37" s="23">
        <v>1</v>
      </c>
      <c r="AL37" s="23">
        <v>200</v>
      </c>
    </row>
    <row r="38" spans="1:38" x14ac:dyDescent="0.2">
      <c r="A38" s="23">
        <v>14</v>
      </c>
      <c r="B38" s="36">
        <v>43886</v>
      </c>
      <c r="C38" s="37">
        <v>90</v>
      </c>
      <c r="D38" s="38" t="s">
        <v>38</v>
      </c>
      <c r="E38" s="37">
        <v>1</v>
      </c>
      <c r="F38" s="37">
        <v>4</v>
      </c>
      <c r="G38" s="37">
        <v>5</v>
      </c>
      <c r="H38" s="37">
        <v>7</v>
      </c>
      <c r="I38" s="37">
        <v>8</v>
      </c>
      <c r="J38" s="37">
        <v>25</v>
      </c>
      <c r="K38" s="37">
        <v>29</v>
      </c>
      <c r="L38" s="37">
        <v>31</v>
      </c>
      <c r="M38" s="37">
        <v>35</v>
      </c>
      <c r="N38" s="37">
        <v>42</v>
      </c>
      <c r="O38" s="37">
        <v>48</v>
      </c>
      <c r="P38" s="31"/>
      <c r="Q38" s="70" t="s">
        <v>960</v>
      </c>
      <c r="T38" s="23">
        <v>1</v>
      </c>
      <c r="W38" s="32">
        <v>1848</v>
      </c>
      <c r="X38" s="32">
        <v>0</v>
      </c>
      <c r="Y38" s="23">
        <v>2</v>
      </c>
      <c r="Z38" s="23">
        <v>1000</v>
      </c>
      <c r="AI38" s="32">
        <v>3</v>
      </c>
      <c r="AJ38" s="32">
        <v>0</v>
      </c>
      <c r="AK38" s="23">
        <v>2</v>
      </c>
      <c r="AL38" s="23">
        <v>400</v>
      </c>
    </row>
    <row r="39" spans="1:38" x14ac:dyDescent="0.2">
      <c r="A39" s="23">
        <v>15</v>
      </c>
      <c r="B39" s="28">
        <v>43886</v>
      </c>
      <c r="C39" s="29">
        <v>90</v>
      </c>
      <c r="D39" s="30" t="s">
        <v>36</v>
      </c>
      <c r="E39" s="29">
        <v>1</v>
      </c>
      <c r="F39" s="29">
        <v>3</v>
      </c>
      <c r="G39" s="29">
        <v>6</v>
      </c>
      <c r="H39" s="29">
        <v>10</v>
      </c>
      <c r="I39" s="29">
        <v>13</v>
      </c>
      <c r="J39" s="29">
        <v>14</v>
      </c>
      <c r="K39" s="29">
        <v>17</v>
      </c>
      <c r="L39" s="29">
        <v>24</v>
      </c>
      <c r="M39" s="29">
        <v>38</v>
      </c>
      <c r="N39" s="29">
        <v>41</v>
      </c>
      <c r="O39" s="29">
        <v>44</v>
      </c>
      <c r="P39" s="31"/>
      <c r="Q39" s="23">
        <v>1</v>
      </c>
      <c r="T39" s="23">
        <v>1</v>
      </c>
      <c r="W39" s="32">
        <v>1848</v>
      </c>
      <c r="X39" s="32">
        <v>0</v>
      </c>
      <c r="Y39" s="23">
        <v>2</v>
      </c>
      <c r="Z39" s="23">
        <v>400</v>
      </c>
      <c r="AI39" s="32">
        <v>3</v>
      </c>
      <c r="AJ39" s="32">
        <v>0</v>
      </c>
      <c r="AK39" s="23">
        <v>0</v>
      </c>
      <c r="AL39" s="23">
        <v>0</v>
      </c>
    </row>
    <row r="40" spans="1:38" x14ac:dyDescent="0.2">
      <c r="A40" s="23">
        <v>16</v>
      </c>
      <c r="B40" s="28">
        <v>43887</v>
      </c>
      <c r="C40" s="29">
        <v>90</v>
      </c>
      <c r="D40" s="30" t="s">
        <v>36</v>
      </c>
      <c r="E40" s="29">
        <v>1</v>
      </c>
      <c r="F40" s="29">
        <v>3</v>
      </c>
      <c r="G40" s="29">
        <v>6</v>
      </c>
      <c r="H40" s="29">
        <v>10</v>
      </c>
      <c r="I40" s="29">
        <v>13</v>
      </c>
      <c r="J40" s="29">
        <v>14</v>
      </c>
      <c r="K40" s="29">
        <v>17</v>
      </c>
      <c r="L40" s="29">
        <v>24</v>
      </c>
      <c r="M40" s="29">
        <v>38</v>
      </c>
      <c r="N40" s="29">
        <v>41</v>
      </c>
      <c r="O40" s="29">
        <v>44</v>
      </c>
      <c r="P40" s="31"/>
      <c r="Q40" s="23">
        <v>1</v>
      </c>
      <c r="T40" s="23">
        <v>1</v>
      </c>
      <c r="W40" s="32">
        <v>1848</v>
      </c>
      <c r="X40" s="32">
        <v>0</v>
      </c>
      <c r="Y40" s="23">
        <v>2</v>
      </c>
      <c r="Z40" s="23">
        <v>400</v>
      </c>
      <c r="AI40" s="32">
        <v>3</v>
      </c>
      <c r="AJ40" s="32">
        <v>0</v>
      </c>
      <c r="AK40" s="23">
        <v>1</v>
      </c>
      <c r="AL40" s="23">
        <v>200</v>
      </c>
    </row>
    <row r="41" spans="1:38" x14ac:dyDescent="0.2">
      <c r="A41" s="23">
        <v>22</v>
      </c>
      <c r="B41" s="36">
        <v>43893</v>
      </c>
      <c r="C41" s="37">
        <v>90</v>
      </c>
      <c r="D41" s="38" t="s">
        <v>38</v>
      </c>
      <c r="E41" s="37">
        <v>3</v>
      </c>
      <c r="F41" s="37">
        <v>17</v>
      </c>
      <c r="G41" s="37">
        <v>18</v>
      </c>
      <c r="H41" s="37">
        <v>20</v>
      </c>
      <c r="I41" s="37">
        <v>22</v>
      </c>
      <c r="J41" s="37">
        <v>24</v>
      </c>
      <c r="K41" s="37">
        <v>27</v>
      </c>
      <c r="L41" s="37">
        <v>32</v>
      </c>
      <c r="M41" s="37">
        <v>34</v>
      </c>
      <c r="N41" s="37">
        <v>38</v>
      </c>
      <c r="O41" s="37">
        <v>44</v>
      </c>
      <c r="P41" s="31"/>
      <c r="T41" s="23">
        <v>1</v>
      </c>
      <c r="W41" s="32">
        <v>1848</v>
      </c>
      <c r="X41" s="32">
        <v>0</v>
      </c>
      <c r="Y41" s="23">
        <v>1</v>
      </c>
      <c r="Z41" s="23">
        <v>200</v>
      </c>
      <c r="AI41" s="32">
        <v>3</v>
      </c>
      <c r="AJ41" s="32">
        <v>0</v>
      </c>
      <c r="AK41" s="23">
        <v>2</v>
      </c>
      <c r="AL41" s="23">
        <v>400</v>
      </c>
    </row>
    <row r="42" spans="1:38" x14ac:dyDescent="0.2">
      <c r="A42" s="23">
        <v>24</v>
      </c>
      <c r="B42" s="28">
        <v>43895</v>
      </c>
      <c r="C42" s="29">
        <v>90</v>
      </c>
      <c r="D42" s="30" t="s">
        <v>36</v>
      </c>
      <c r="E42" s="29">
        <v>6</v>
      </c>
      <c r="F42" s="29">
        <v>8</v>
      </c>
      <c r="G42" s="29">
        <v>10</v>
      </c>
      <c r="H42" s="29">
        <v>13</v>
      </c>
      <c r="I42" s="29">
        <v>14</v>
      </c>
      <c r="J42" s="29">
        <v>22</v>
      </c>
      <c r="K42" s="29">
        <v>24</v>
      </c>
      <c r="L42" s="29">
        <v>35</v>
      </c>
      <c r="M42" s="29">
        <v>36</v>
      </c>
      <c r="N42" s="29">
        <v>39</v>
      </c>
      <c r="O42" s="29">
        <v>44</v>
      </c>
      <c r="P42" s="31"/>
      <c r="T42" s="23">
        <v>1</v>
      </c>
      <c r="W42" s="32">
        <v>1848</v>
      </c>
      <c r="X42" s="32">
        <v>0</v>
      </c>
      <c r="Y42" s="23">
        <v>1</v>
      </c>
      <c r="Z42" s="23">
        <v>200</v>
      </c>
      <c r="AI42" s="32">
        <v>3</v>
      </c>
      <c r="AJ42" s="32">
        <v>0</v>
      </c>
      <c r="AK42" s="23">
        <v>1</v>
      </c>
      <c r="AL42" s="23">
        <v>200</v>
      </c>
    </row>
    <row r="43" spans="1:38" x14ac:dyDescent="0.2">
      <c r="A43" s="23">
        <v>28</v>
      </c>
      <c r="B43" s="36">
        <v>43900</v>
      </c>
      <c r="C43" s="37">
        <v>90</v>
      </c>
      <c r="D43" s="38" t="s">
        <v>38</v>
      </c>
      <c r="E43" s="37">
        <v>3</v>
      </c>
      <c r="F43" s="37">
        <v>4</v>
      </c>
      <c r="G43" s="37">
        <v>6</v>
      </c>
      <c r="H43" s="37">
        <v>7</v>
      </c>
      <c r="I43" s="37">
        <v>8</v>
      </c>
      <c r="J43" s="37">
        <v>20</v>
      </c>
      <c r="K43" s="37">
        <v>30</v>
      </c>
      <c r="L43" s="37">
        <v>32</v>
      </c>
      <c r="M43" s="37">
        <v>35</v>
      </c>
      <c r="N43" s="37">
        <v>40</v>
      </c>
      <c r="O43" s="37">
        <v>44</v>
      </c>
      <c r="P43" s="31"/>
      <c r="T43" s="23">
        <v>1</v>
      </c>
      <c r="W43" s="32">
        <v>1848</v>
      </c>
      <c r="X43" s="32">
        <v>0</v>
      </c>
      <c r="Y43" s="23">
        <v>1</v>
      </c>
      <c r="Z43" s="23">
        <v>200</v>
      </c>
      <c r="AI43" s="32">
        <v>3</v>
      </c>
      <c r="AJ43" s="32">
        <v>0</v>
      </c>
      <c r="AK43" s="23">
        <v>0</v>
      </c>
      <c r="AL43" s="23">
        <v>0</v>
      </c>
    </row>
    <row r="44" spans="1:38" x14ac:dyDescent="0.2">
      <c r="A44" s="23">
        <v>29</v>
      </c>
      <c r="B44" s="36">
        <v>43902</v>
      </c>
      <c r="C44" s="37">
        <v>90</v>
      </c>
      <c r="D44" s="38" t="s">
        <v>38</v>
      </c>
      <c r="E44" s="37">
        <v>5</v>
      </c>
      <c r="F44" s="37">
        <v>8</v>
      </c>
      <c r="G44" s="37">
        <v>10</v>
      </c>
      <c r="H44" s="37">
        <v>14</v>
      </c>
      <c r="I44" s="37">
        <v>24</v>
      </c>
      <c r="J44" s="37">
        <v>34</v>
      </c>
      <c r="K44" s="37">
        <v>35</v>
      </c>
      <c r="L44" s="37">
        <v>38</v>
      </c>
      <c r="M44" s="37">
        <v>39</v>
      </c>
      <c r="N44" s="37">
        <v>40</v>
      </c>
      <c r="O44" s="37">
        <v>48</v>
      </c>
      <c r="P44" s="31"/>
      <c r="Q44" s="23">
        <v>1</v>
      </c>
      <c r="T44" s="23">
        <v>1</v>
      </c>
      <c r="W44" s="32">
        <v>1848</v>
      </c>
      <c r="X44" s="32">
        <v>0</v>
      </c>
      <c r="Y44" s="23">
        <v>2</v>
      </c>
      <c r="Z44" s="23">
        <v>400</v>
      </c>
      <c r="AI44" s="32">
        <v>1.5</v>
      </c>
      <c r="AJ44" s="32">
        <v>0</v>
      </c>
      <c r="AK44" s="23">
        <v>1</v>
      </c>
      <c r="AL44" s="23">
        <v>200</v>
      </c>
    </row>
    <row r="45" spans="1:38" x14ac:dyDescent="0.2">
      <c r="A45" s="23">
        <v>30</v>
      </c>
      <c r="B45" s="28">
        <v>43902</v>
      </c>
      <c r="C45" s="29">
        <v>90</v>
      </c>
      <c r="D45" s="30" t="s">
        <v>36</v>
      </c>
      <c r="E45" s="29">
        <v>3</v>
      </c>
      <c r="F45" s="29">
        <v>13</v>
      </c>
      <c r="G45" s="29">
        <v>20</v>
      </c>
      <c r="H45" s="29">
        <v>23</v>
      </c>
      <c r="I45" s="29">
        <v>24</v>
      </c>
      <c r="J45" s="29">
        <v>29</v>
      </c>
      <c r="K45" s="29">
        <v>34</v>
      </c>
      <c r="L45" s="29">
        <v>36</v>
      </c>
      <c r="M45" s="29">
        <v>38</v>
      </c>
      <c r="N45" s="29">
        <v>39</v>
      </c>
      <c r="O45" s="29">
        <v>41</v>
      </c>
      <c r="P45" s="31"/>
      <c r="T45" s="70" t="s">
        <v>960</v>
      </c>
      <c r="W45" s="32">
        <v>1848</v>
      </c>
      <c r="X45" s="32">
        <v>0</v>
      </c>
      <c r="Y45" s="23">
        <v>1</v>
      </c>
      <c r="Z45" s="23">
        <v>800</v>
      </c>
      <c r="AI45" s="32">
        <v>1.5</v>
      </c>
      <c r="AJ45" s="32">
        <v>0</v>
      </c>
      <c r="AK45" s="23">
        <v>0</v>
      </c>
      <c r="AL45" s="23">
        <v>0</v>
      </c>
    </row>
    <row r="46" spans="1:38" x14ac:dyDescent="0.2">
      <c r="A46" s="23">
        <v>31</v>
      </c>
      <c r="B46" s="28">
        <v>43902</v>
      </c>
      <c r="C46" s="29">
        <v>90</v>
      </c>
      <c r="D46" s="30" t="s">
        <v>40</v>
      </c>
      <c r="E46" s="29">
        <v>13</v>
      </c>
      <c r="F46" s="29">
        <v>20</v>
      </c>
      <c r="G46" s="29">
        <v>23</v>
      </c>
      <c r="H46" s="29">
        <v>24</v>
      </c>
      <c r="I46" s="29">
        <v>34</v>
      </c>
      <c r="J46" s="29">
        <v>39</v>
      </c>
      <c r="K46" s="29">
        <v>41</v>
      </c>
      <c r="P46" s="31"/>
      <c r="T46" s="70" t="s">
        <v>917</v>
      </c>
      <c r="W46" s="32">
        <v>28</v>
      </c>
      <c r="X46" s="32">
        <v>0</v>
      </c>
      <c r="Y46" s="23">
        <v>1</v>
      </c>
      <c r="Z46" s="23">
        <v>400</v>
      </c>
      <c r="AI46" s="32">
        <v>1.5</v>
      </c>
      <c r="AJ46" s="32">
        <v>0</v>
      </c>
      <c r="AK46" s="23">
        <v>1</v>
      </c>
      <c r="AL46" s="23">
        <v>400</v>
      </c>
    </row>
    <row r="47" spans="1:38" x14ac:dyDescent="0.2">
      <c r="A47" s="23">
        <v>32</v>
      </c>
      <c r="B47" s="28">
        <v>43903</v>
      </c>
      <c r="C47" s="29">
        <v>90</v>
      </c>
      <c r="D47" s="30" t="s">
        <v>36</v>
      </c>
      <c r="E47" s="29">
        <v>3</v>
      </c>
      <c r="F47" s="29">
        <v>10</v>
      </c>
      <c r="G47" s="29">
        <v>13</v>
      </c>
      <c r="H47" s="29">
        <v>20</v>
      </c>
      <c r="I47" s="29">
        <v>23</v>
      </c>
      <c r="J47" s="29">
        <v>24</v>
      </c>
      <c r="K47" s="29">
        <v>34</v>
      </c>
      <c r="L47" s="29">
        <v>36</v>
      </c>
      <c r="M47" s="29">
        <v>38</v>
      </c>
      <c r="N47" s="29">
        <v>39</v>
      </c>
      <c r="O47" s="29">
        <v>41</v>
      </c>
      <c r="P47" s="31"/>
      <c r="T47" s="70" t="s">
        <v>960</v>
      </c>
      <c r="W47" s="32">
        <v>1848</v>
      </c>
      <c r="X47" s="32">
        <v>0</v>
      </c>
      <c r="Y47" s="23">
        <v>1</v>
      </c>
      <c r="Z47" s="23">
        <v>800</v>
      </c>
      <c r="AI47" s="32">
        <v>1.5</v>
      </c>
      <c r="AJ47" s="32">
        <v>0</v>
      </c>
      <c r="AK47" s="23">
        <v>0</v>
      </c>
      <c r="AL47" s="23">
        <v>0</v>
      </c>
    </row>
    <row r="48" spans="1:38" x14ac:dyDescent="0.2">
      <c r="A48" s="23">
        <v>36</v>
      </c>
      <c r="B48" s="36">
        <v>43991</v>
      </c>
      <c r="C48" s="37">
        <v>15</v>
      </c>
      <c r="D48" s="38" t="s">
        <v>43</v>
      </c>
      <c r="E48" s="37">
        <v>3</v>
      </c>
      <c r="F48" s="37">
        <v>5</v>
      </c>
      <c r="G48" s="37">
        <v>7</v>
      </c>
      <c r="H48" s="37">
        <v>10</v>
      </c>
      <c r="I48" s="37">
        <v>38</v>
      </c>
      <c r="J48" s="37">
        <v>47</v>
      </c>
      <c r="P48" s="31"/>
      <c r="W48" s="32">
        <v>0</v>
      </c>
      <c r="X48" s="32">
        <v>0</v>
      </c>
      <c r="Y48" s="23">
        <v>0</v>
      </c>
      <c r="Z48" s="23">
        <v>0</v>
      </c>
      <c r="AI48" s="32">
        <v>1.5</v>
      </c>
      <c r="AJ48" s="32">
        <v>0</v>
      </c>
      <c r="AK48" s="23">
        <v>0</v>
      </c>
      <c r="AL48" s="23">
        <v>0</v>
      </c>
    </row>
    <row r="49" spans="1:38" x14ac:dyDescent="0.2">
      <c r="A49" s="23">
        <v>37</v>
      </c>
      <c r="B49" s="36">
        <v>43991</v>
      </c>
      <c r="C49" s="37">
        <v>15</v>
      </c>
      <c r="D49" s="38" t="s">
        <v>44</v>
      </c>
      <c r="E49" s="37">
        <v>20</v>
      </c>
      <c r="F49" s="37">
        <v>22</v>
      </c>
      <c r="G49" s="37">
        <v>29</v>
      </c>
      <c r="H49" s="37">
        <v>35</v>
      </c>
      <c r="I49" s="37">
        <v>36</v>
      </c>
      <c r="J49" s="37">
        <v>38</v>
      </c>
      <c r="P49" s="31"/>
      <c r="W49" s="32">
        <v>0</v>
      </c>
      <c r="X49" s="32">
        <v>0</v>
      </c>
      <c r="Y49" s="23">
        <v>0</v>
      </c>
      <c r="Z49" s="23">
        <v>0</v>
      </c>
      <c r="AI49" s="32">
        <v>1.5</v>
      </c>
      <c r="AJ49" s="32">
        <v>0</v>
      </c>
      <c r="AK49" s="23">
        <v>0</v>
      </c>
      <c r="AL49" s="23">
        <v>0</v>
      </c>
    </row>
    <row r="50" spans="1:38" x14ac:dyDescent="0.2">
      <c r="A50" s="23">
        <v>39</v>
      </c>
      <c r="B50" s="36">
        <v>43991</v>
      </c>
      <c r="C50" s="37">
        <v>15</v>
      </c>
      <c r="D50" s="38" t="s">
        <v>46</v>
      </c>
      <c r="E50" s="37">
        <v>3</v>
      </c>
      <c r="F50" s="37">
        <v>5</v>
      </c>
      <c r="G50" s="37">
        <v>10</v>
      </c>
      <c r="H50" s="37">
        <v>11</v>
      </c>
      <c r="I50" s="37">
        <v>38</v>
      </c>
      <c r="J50" s="37">
        <v>47</v>
      </c>
      <c r="P50" s="31"/>
      <c r="W50" s="32">
        <v>0</v>
      </c>
      <c r="X50" s="32">
        <v>0</v>
      </c>
      <c r="Y50" s="23">
        <v>0</v>
      </c>
      <c r="Z50" s="23">
        <v>0</v>
      </c>
      <c r="AI50" s="32">
        <v>1.5</v>
      </c>
      <c r="AJ50" s="32">
        <v>0</v>
      </c>
      <c r="AK50" s="23">
        <v>1</v>
      </c>
      <c r="AL50" s="23">
        <v>200</v>
      </c>
    </row>
    <row r="51" spans="1:38" x14ac:dyDescent="0.2">
      <c r="A51" s="23">
        <v>43</v>
      </c>
      <c r="B51" s="28">
        <v>43992</v>
      </c>
      <c r="C51" s="29">
        <v>15</v>
      </c>
      <c r="D51" s="30" t="s">
        <v>43</v>
      </c>
      <c r="E51" s="29">
        <v>47</v>
      </c>
      <c r="F51" s="29">
        <v>3</v>
      </c>
      <c r="G51" s="29">
        <v>38</v>
      </c>
      <c r="H51" s="29">
        <v>5</v>
      </c>
      <c r="I51" s="29">
        <v>10</v>
      </c>
      <c r="J51" s="29">
        <v>7</v>
      </c>
      <c r="P51" s="31"/>
      <c r="W51" s="32">
        <v>0</v>
      </c>
      <c r="X51" s="32">
        <v>0</v>
      </c>
      <c r="Y51" s="23">
        <v>0</v>
      </c>
      <c r="Z51" s="23">
        <v>0</v>
      </c>
      <c r="AI51" s="32">
        <v>1.5</v>
      </c>
      <c r="AJ51" s="32">
        <v>0</v>
      </c>
      <c r="AK51" s="23">
        <v>0</v>
      </c>
      <c r="AL51" s="23">
        <v>0</v>
      </c>
    </row>
    <row r="52" spans="1:38" x14ac:dyDescent="0.2">
      <c r="A52" s="23">
        <v>44</v>
      </c>
      <c r="B52" s="28">
        <v>43992</v>
      </c>
      <c r="C52" s="29">
        <v>15</v>
      </c>
      <c r="D52" s="30" t="s">
        <v>44</v>
      </c>
      <c r="E52" s="29">
        <v>29</v>
      </c>
      <c r="F52" s="29">
        <v>39</v>
      </c>
      <c r="G52" s="29">
        <v>23</v>
      </c>
      <c r="H52" s="29">
        <v>42</v>
      </c>
      <c r="I52" s="29">
        <v>38</v>
      </c>
      <c r="J52" s="29">
        <v>30</v>
      </c>
      <c r="P52" s="31"/>
      <c r="W52" s="32">
        <v>0</v>
      </c>
      <c r="X52" s="32">
        <v>0</v>
      </c>
      <c r="Y52" s="23">
        <v>0</v>
      </c>
      <c r="Z52" s="23">
        <v>0</v>
      </c>
      <c r="AI52" s="32">
        <v>1.5</v>
      </c>
      <c r="AJ52" s="32">
        <v>0</v>
      </c>
      <c r="AK52" s="23">
        <v>0</v>
      </c>
      <c r="AL52" s="23">
        <v>0</v>
      </c>
    </row>
    <row r="53" spans="1:38" x14ac:dyDescent="0.2">
      <c r="A53" s="23">
        <v>45</v>
      </c>
      <c r="B53" s="28">
        <v>43992</v>
      </c>
      <c r="C53" s="29">
        <v>15</v>
      </c>
      <c r="D53" s="30" t="s">
        <v>48</v>
      </c>
      <c r="E53" s="29">
        <v>18</v>
      </c>
      <c r="F53" s="29">
        <v>35</v>
      </c>
      <c r="G53" s="29">
        <v>43</v>
      </c>
      <c r="H53" s="29">
        <v>34</v>
      </c>
      <c r="I53" s="29">
        <v>32</v>
      </c>
      <c r="J53" s="29">
        <v>17</v>
      </c>
      <c r="P53" s="31"/>
      <c r="W53" s="32">
        <v>0</v>
      </c>
      <c r="X53" s="32">
        <v>0</v>
      </c>
      <c r="Y53" s="23">
        <v>0</v>
      </c>
      <c r="Z53" s="23">
        <v>0</v>
      </c>
      <c r="AI53" s="32">
        <v>1.5</v>
      </c>
      <c r="AJ53" s="32">
        <v>0</v>
      </c>
      <c r="AK53" s="23">
        <v>1</v>
      </c>
      <c r="AL53" s="23">
        <v>400</v>
      </c>
    </row>
    <row r="54" spans="1:38" x14ac:dyDescent="0.2">
      <c r="A54" s="23">
        <v>46</v>
      </c>
      <c r="B54" s="28">
        <v>43992</v>
      </c>
      <c r="C54" s="29">
        <v>15</v>
      </c>
      <c r="D54" s="30" t="s">
        <v>49</v>
      </c>
      <c r="E54" s="29">
        <v>22</v>
      </c>
      <c r="F54" s="29">
        <v>16</v>
      </c>
      <c r="G54" s="29">
        <v>29</v>
      </c>
      <c r="H54" s="29">
        <v>48</v>
      </c>
      <c r="I54" s="29">
        <v>31</v>
      </c>
      <c r="J54" s="29">
        <v>17</v>
      </c>
      <c r="P54" s="31"/>
      <c r="W54" s="32">
        <v>0</v>
      </c>
      <c r="X54" s="32">
        <v>0</v>
      </c>
      <c r="Y54" s="23">
        <v>0</v>
      </c>
      <c r="Z54" s="23">
        <v>0</v>
      </c>
      <c r="AI54" s="32">
        <v>1.5</v>
      </c>
      <c r="AJ54" s="32">
        <v>0</v>
      </c>
      <c r="AK54" s="23">
        <v>1</v>
      </c>
      <c r="AL54" s="23">
        <v>400</v>
      </c>
    </row>
    <row r="55" spans="1:38" x14ac:dyDescent="0.2">
      <c r="A55" s="23">
        <v>50</v>
      </c>
      <c r="B55" s="28">
        <v>43992</v>
      </c>
      <c r="C55" s="29">
        <v>15</v>
      </c>
      <c r="D55" s="30" t="s">
        <v>46</v>
      </c>
      <c r="E55" s="29">
        <v>47</v>
      </c>
      <c r="F55" s="29">
        <v>3</v>
      </c>
      <c r="G55" s="29">
        <v>38</v>
      </c>
      <c r="H55" s="29">
        <v>5</v>
      </c>
      <c r="I55" s="29">
        <v>10</v>
      </c>
      <c r="J55" s="29">
        <v>27</v>
      </c>
      <c r="P55" s="31"/>
      <c r="W55" s="32">
        <v>0</v>
      </c>
      <c r="X55" s="32">
        <v>0</v>
      </c>
      <c r="Y55" s="23">
        <v>0</v>
      </c>
      <c r="Z55" s="23">
        <v>0</v>
      </c>
      <c r="AI55" s="32">
        <v>1.5</v>
      </c>
      <c r="AJ55" s="32">
        <v>0</v>
      </c>
      <c r="AK55" s="23">
        <v>1</v>
      </c>
      <c r="AL55" s="23">
        <v>200</v>
      </c>
    </row>
    <row r="56" spans="1:38" x14ac:dyDescent="0.2">
      <c r="A56" s="23">
        <v>55</v>
      </c>
      <c r="B56" s="36">
        <v>43997</v>
      </c>
      <c r="C56" s="37">
        <v>15</v>
      </c>
      <c r="D56" s="38" t="s">
        <v>43</v>
      </c>
      <c r="E56" s="37">
        <v>47</v>
      </c>
      <c r="F56" s="37">
        <v>38</v>
      </c>
      <c r="G56" s="37">
        <v>10</v>
      </c>
      <c r="H56" s="37">
        <v>7</v>
      </c>
      <c r="I56" s="37">
        <v>27</v>
      </c>
      <c r="J56" s="37">
        <v>25</v>
      </c>
      <c r="P56" s="31"/>
      <c r="W56" s="32">
        <v>2</v>
      </c>
      <c r="X56" s="32">
        <v>0</v>
      </c>
      <c r="Y56" s="23">
        <v>0</v>
      </c>
      <c r="Z56" s="23">
        <v>0</v>
      </c>
      <c r="AI56" s="32">
        <v>1.5</v>
      </c>
      <c r="AJ56" s="32">
        <v>0</v>
      </c>
      <c r="AK56" s="23">
        <v>1</v>
      </c>
      <c r="AL56" s="23">
        <v>200</v>
      </c>
    </row>
    <row r="57" spans="1:38" x14ac:dyDescent="0.2">
      <c r="A57" s="23">
        <v>56</v>
      </c>
      <c r="B57" s="36">
        <v>43997</v>
      </c>
      <c r="C57" s="37">
        <v>15</v>
      </c>
      <c r="D57" s="38" t="s">
        <v>44</v>
      </c>
      <c r="E57" s="37">
        <v>29</v>
      </c>
      <c r="F57" s="37">
        <v>11</v>
      </c>
      <c r="G57" s="37">
        <v>13</v>
      </c>
      <c r="H57" s="37">
        <v>35</v>
      </c>
      <c r="I57" s="37">
        <v>5</v>
      </c>
      <c r="J57" s="37">
        <v>23</v>
      </c>
      <c r="P57" s="31"/>
      <c r="Q57" s="23">
        <v>1</v>
      </c>
      <c r="W57" s="32">
        <v>2</v>
      </c>
      <c r="X57" s="32">
        <v>0</v>
      </c>
      <c r="Y57" s="23">
        <v>1</v>
      </c>
      <c r="Z57" s="23">
        <v>200</v>
      </c>
      <c r="AI57" s="32">
        <v>1.5</v>
      </c>
      <c r="AJ57" s="32">
        <v>0</v>
      </c>
      <c r="AK57" s="23">
        <v>1</v>
      </c>
      <c r="AL57" s="23">
        <v>200</v>
      </c>
    </row>
    <row r="58" spans="1:38" x14ac:dyDescent="0.2">
      <c r="A58" s="23">
        <v>57</v>
      </c>
      <c r="B58" s="36">
        <v>43997</v>
      </c>
      <c r="C58" s="37">
        <v>15</v>
      </c>
      <c r="D58" s="38" t="s">
        <v>48</v>
      </c>
      <c r="E58" s="37">
        <v>16</v>
      </c>
      <c r="F58" s="37">
        <v>40</v>
      </c>
      <c r="G58" s="37">
        <v>42</v>
      </c>
      <c r="H58" s="37">
        <v>48</v>
      </c>
      <c r="I58" s="37">
        <v>23</v>
      </c>
      <c r="J58" s="37">
        <v>21</v>
      </c>
      <c r="P58" s="31"/>
      <c r="Q58" s="23">
        <v>1</v>
      </c>
      <c r="W58" s="32">
        <v>2</v>
      </c>
      <c r="X58" s="32">
        <v>0</v>
      </c>
      <c r="Y58" s="23">
        <v>1</v>
      </c>
      <c r="Z58" s="23">
        <v>200</v>
      </c>
      <c r="AI58" s="32">
        <v>1.5</v>
      </c>
      <c r="AJ58" s="32">
        <v>0</v>
      </c>
      <c r="AK58" s="23">
        <v>0</v>
      </c>
      <c r="AL58" s="23">
        <v>0</v>
      </c>
    </row>
    <row r="59" spans="1:38" x14ac:dyDescent="0.2">
      <c r="A59" s="23">
        <v>58</v>
      </c>
      <c r="B59" s="36">
        <v>43997</v>
      </c>
      <c r="C59" s="37">
        <v>15</v>
      </c>
      <c r="D59" s="38" t="s">
        <v>49</v>
      </c>
      <c r="E59" s="37">
        <v>21</v>
      </c>
      <c r="F59" s="37">
        <v>18</v>
      </c>
      <c r="G59" s="37">
        <v>44</v>
      </c>
      <c r="H59" s="37">
        <v>43</v>
      </c>
      <c r="I59" s="37">
        <v>31</v>
      </c>
      <c r="J59" s="37">
        <v>42</v>
      </c>
      <c r="P59" s="31"/>
      <c r="Q59" s="23">
        <v>1</v>
      </c>
      <c r="W59" s="32">
        <v>2</v>
      </c>
      <c r="X59" s="32">
        <v>0</v>
      </c>
      <c r="Y59" s="23">
        <v>1</v>
      </c>
      <c r="Z59" s="23">
        <v>200</v>
      </c>
      <c r="AI59" s="32">
        <v>1.5</v>
      </c>
      <c r="AJ59" s="32">
        <v>0</v>
      </c>
      <c r="AK59" s="23">
        <v>1</v>
      </c>
      <c r="AL59" s="23">
        <v>200</v>
      </c>
    </row>
    <row r="60" spans="1:38" x14ac:dyDescent="0.2">
      <c r="A60" s="23">
        <v>62</v>
      </c>
      <c r="B60" s="36">
        <v>43997</v>
      </c>
      <c r="C60" s="37">
        <v>15</v>
      </c>
      <c r="D60" s="38" t="s">
        <v>46</v>
      </c>
      <c r="E60" s="37">
        <v>47</v>
      </c>
      <c r="F60" s="37">
        <v>38</v>
      </c>
      <c r="G60" s="37">
        <v>10</v>
      </c>
      <c r="H60" s="37">
        <v>27</v>
      </c>
      <c r="I60" s="37">
        <v>7</v>
      </c>
      <c r="J60" s="37">
        <v>25</v>
      </c>
      <c r="P60" s="31"/>
      <c r="W60" s="32">
        <v>2</v>
      </c>
      <c r="X60" s="32">
        <v>0</v>
      </c>
      <c r="Y60" s="23">
        <v>0</v>
      </c>
      <c r="Z60" s="23">
        <v>0</v>
      </c>
      <c r="AI60" s="32">
        <v>1.5</v>
      </c>
      <c r="AJ60" s="32">
        <v>0</v>
      </c>
      <c r="AK60" s="23">
        <v>0</v>
      </c>
      <c r="AL60" s="23">
        <v>0</v>
      </c>
    </row>
    <row r="61" spans="1:38" x14ac:dyDescent="0.2">
      <c r="A61" s="23">
        <v>63</v>
      </c>
      <c r="B61" s="36">
        <v>43997</v>
      </c>
      <c r="C61" s="37">
        <v>15</v>
      </c>
      <c r="D61" s="38" t="s">
        <v>52</v>
      </c>
      <c r="E61" s="37">
        <v>29</v>
      </c>
      <c r="F61" s="37">
        <v>20</v>
      </c>
      <c r="G61" s="37">
        <v>25</v>
      </c>
      <c r="H61" s="37">
        <v>11</v>
      </c>
      <c r="I61" s="37">
        <v>48</v>
      </c>
      <c r="J61" s="37">
        <v>5</v>
      </c>
      <c r="P61" s="31"/>
      <c r="Q61" s="23">
        <v>1</v>
      </c>
      <c r="W61" s="32">
        <v>2</v>
      </c>
      <c r="X61" s="32">
        <v>0</v>
      </c>
      <c r="Y61" s="23">
        <v>1</v>
      </c>
      <c r="Z61" s="23">
        <v>200</v>
      </c>
      <c r="AI61" s="32">
        <v>1.5</v>
      </c>
      <c r="AJ61" s="32">
        <v>0</v>
      </c>
      <c r="AK61" s="23">
        <v>1</v>
      </c>
      <c r="AL61" s="23">
        <v>400</v>
      </c>
    </row>
    <row r="62" spans="1:38" x14ac:dyDescent="0.2">
      <c r="A62" s="23">
        <v>66</v>
      </c>
      <c r="B62" s="28">
        <v>43999</v>
      </c>
      <c r="C62" s="29">
        <v>15</v>
      </c>
      <c r="D62" s="30" t="s">
        <v>43</v>
      </c>
      <c r="E62" s="29">
        <v>47</v>
      </c>
      <c r="F62" s="29">
        <v>38</v>
      </c>
      <c r="G62" s="29">
        <v>7</v>
      </c>
      <c r="H62" s="29">
        <v>27</v>
      </c>
      <c r="I62" s="29">
        <v>25</v>
      </c>
      <c r="J62" s="29">
        <v>18</v>
      </c>
      <c r="P62" s="31"/>
      <c r="W62" s="32">
        <v>4</v>
      </c>
      <c r="X62" s="32">
        <v>0</v>
      </c>
      <c r="Y62" s="23">
        <v>0</v>
      </c>
      <c r="Z62" s="23">
        <v>0</v>
      </c>
      <c r="AI62" s="32">
        <v>1.5</v>
      </c>
      <c r="AJ62" s="32">
        <v>0</v>
      </c>
      <c r="AK62" s="23">
        <v>1</v>
      </c>
      <c r="AL62" s="23">
        <v>200</v>
      </c>
    </row>
    <row r="63" spans="1:38" x14ac:dyDescent="0.2">
      <c r="A63" s="23">
        <v>68</v>
      </c>
      <c r="B63" s="28">
        <v>43999</v>
      </c>
      <c r="C63" s="29">
        <v>15</v>
      </c>
      <c r="D63" s="30" t="s">
        <v>48</v>
      </c>
      <c r="E63" s="29">
        <v>13</v>
      </c>
      <c r="F63" s="29">
        <v>42</v>
      </c>
      <c r="G63" s="29">
        <v>34</v>
      </c>
      <c r="H63" s="29">
        <v>20</v>
      </c>
      <c r="I63" s="29">
        <v>17</v>
      </c>
      <c r="J63" s="29">
        <v>21</v>
      </c>
      <c r="P63" s="31"/>
      <c r="Q63" s="23">
        <v>1</v>
      </c>
      <c r="T63" s="70" t="s">
        <v>917</v>
      </c>
      <c r="W63" s="32">
        <v>4</v>
      </c>
      <c r="X63" s="32">
        <v>0</v>
      </c>
      <c r="Y63" s="23">
        <v>2</v>
      </c>
      <c r="Z63" s="23">
        <v>600</v>
      </c>
      <c r="AI63" s="32">
        <v>1.5</v>
      </c>
      <c r="AJ63" s="32">
        <v>0</v>
      </c>
      <c r="AK63" s="23">
        <v>1</v>
      </c>
      <c r="AL63" s="23">
        <v>200</v>
      </c>
    </row>
    <row r="64" spans="1:38" x14ac:dyDescent="0.2">
      <c r="A64" s="23">
        <v>69</v>
      </c>
      <c r="B64" s="28">
        <v>43999</v>
      </c>
      <c r="C64" s="29">
        <v>15</v>
      </c>
      <c r="D64" s="30" t="s">
        <v>49</v>
      </c>
      <c r="E64" s="29">
        <v>16</v>
      </c>
      <c r="F64" s="29">
        <v>41</v>
      </c>
      <c r="G64" s="29">
        <v>35</v>
      </c>
      <c r="H64" s="29">
        <v>38</v>
      </c>
      <c r="I64" s="29">
        <v>29</v>
      </c>
      <c r="J64" s="29">
        <v>28</v>
      </c>
      <c r="P64" s="31"/>
      <c r="T64" s="23">
        <v>1</v>
      </c>
      <c r="W64" s="32">
        <v>4</v>
      </c>
      <c r="X64" s="32">
        <v>0</v>
      </c>
      <c r="Y64" s="23">
        <v>1</v>
      </c>
      <c r="Z64" s="23">
        <v>200</v>
      </c>
      <c r="AI64" s="32">
        <v>1.5</v>
      </c>
      <c r="AJ64" s="32">
        <v>0</v>
      </c>
      <c r="AK64" s="23">
        <v>1</v>
      </c>
      <c r="AL64" s="23">
        <v>200</v>
      </c>
    </row>
    <row r="65" spans="1:38" x14ac:dyDescent="0.2">
      <c r="A65" s="23">
        <v>70</v>
      </c>
      <c r="B65" s="28">
        <v>43999</v>
      </c>
      <c r="C65" s="29">
        <v>15</v>
      </c>
      <c r="D65" s="30" t="s">
        <v>50</v>
      </c>
      <c r="E65" s="29">
        <v>5</v>
      </c>
      <c r="F65" s="29">
        <v>32</v>
      </c>
      <c r="G65" s="29">
        <v>14</v>
      </c>
      <c r="H65" s="29">
        <v>23</v>
      </c>
      <c r="I65" s="29">
        <v>38</v>
      </c>
      <c r="J65" s="29">
        <v>37</v>
      </c>
      <c r="P65" s="31"/>
      <c r="Q65" s="23">
        <v>1</v>
      </c>
      <c r="T65" s="23">
        <v>1</v>
      </c>
      <c r="W65" s="32">
        <v>4</v>
      </c>
      <c r="X65" s="32">
        <v>0</v>
      </c>
      <c r="Y65" s="23">
        <v>2</v>
      </c>
      <c r="Z65" s="23">
        <v>400</v>
      </c>
      <c r="AI65" s="32">
        <v>1.5</v>
      </c>
      <c r="AJ65" s="32">
        <v>0</v>
      </c>
      <c r="AK65" s="23">
        <v>1</v>
      </c>
      <c r="AL65" s="23">
        <v>200</v>
      </c>
    </row>
    <row r="66" spans="1:38" x14ac:dyDescent="0.2">
      <c r="A66" s="23">
        <v>72</v>
      </c>
      <c r="B66" s="28">
        <v>43999</v>
      </c>
      <c r="C66" s="29">
        <v>15</v>
      </c>
      <c r="D66" s="30" t="s">
        <v>51</v>
      </c>
      <c r="E66" s="29">
        <v>14</v>
      </c>
      <c r="F66" s="29">
        <v>31</v>
      </c>
      <c r="G66" s="29">
        <v>35</v>
      </c>
      <c r="H66" s="29">
        <v>28</v>
      </c>
      <c r="I66" s="29">
        <v>11</v>
      </c>
      <c r="J66" s="29">
        <v>13</v>
      </c>
      <c r="P66" s="31"/>
      <c r="W66" s="32">
        <v>4</v>
      </c>
      <c r="X66" s="32">
        <v>0</v>
      </c>
      <c r="Y66" s="23">
        <v>0</v>
      </c>
      <c r="Z66" s="23">
        <v>0</v>
      </c>
      <c r="AI66" s="32">
        <v>1.5</v>
      </c>
      <c r="AJ66" s="32">
        <v>0</v>
      </c>
      <c r="AK66" s="23">
        <v>1</v>
      </c>
      <c r="AL66" s="23">
        <v>200</v>
      </c>
    </row>
    <row r="67" spans="1:38" x14ac:dyDescent="0.2">
      <c r="A67" s="23">
        <v>73</v>
      </c>
      <c r="B67" s="28">
        <v>43999</v>
      </c>
      <c r="C67" s="29">
        <v>15</v>
      </c>
      <c r="D67" s="30" t="s">
        <v>46</v>
      </c>
      <c r="E67" s="29">
        <v>47</v>
      </c>
      <c r="F67" s="29">
        <v>38</v>
      </c>
      <c r="G67" s="29">
        <v>7</v>
      </c>
      <c r="H67" s="29">
        <v>27</v>
      </c>
      <c r="I67" s="29">
        <v>25</v>
      </c>
      <c r="J67" s="29">
        <v>18</v>
      </c>
      <c r="P67" s="31"/>
      <c r="W67" s="32">
        <v>4</v>
      </c>
      <c r="X67" s="32">
        <v>0</v>
      </c>
      <c r="Y67" s="23">
        <v>0</v>
      </c>
      <c r="Z67" s="23">
        <v>0</v>
      </c>
      <c r="AI67" s="32">
        <v>1.5</v>
      </c>
      <c r="AJ67" s="32">
        <v>0</v>
      </c>
      <c r="AK67" s="23">
        <v>1</v>
      </c>
      <c r="AL67" s="23">
        <v>200</v>
      </c>
    </row>
  </sheetData>
  <dataConsolidate/>
  <pageMargins left="0.7" right="0.7" top="0.75" bottom="0.75" header="0.3" footer="0.3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9C8A8-0210-4AFB-BD87-9D0809CAFB94}">
  <sheetPr codeName="Hoja8"/>
  <dimension ref="A1:R17"/>
  <sheetViews>
    <sheetView showGridLines="0" zoomScaleNormal="100" zoomScalePageLayoutView="85" workbookViewId="0">
      <selection activeCell="B3" sqref="B3"/>
    </sheetView>
  </sheetViews>
  <sheetFormatPr baseColWidth="10" defaultColWidth="10.7109375" defaultRowHeight="15" x14ac:dyDescent="0.25"/>
  <cols>
    <col min="1" max="1" width="17.42578125" bestFit="1" customWidth="1"/>
    <col min="2" max="2" width="9.7109375" bestFit="1" customWidth="1"/>
    <col min="3" max="3" width="10.7109375" customWidth="1"/>
    <col min="4" max="4" width="13.140625" bestFit="1" customWidth="1"/>
    <col min="5" max="14" width="3.42578125" bestFit="1" customWidth="1"/>
    <col min="15" max="16" width="4.42578125" bestFit="1" customWidth="1"/>
    <col min="17" max="17" width="8.28515625" bestFit="1" customWidth="1"/>
    <col min="18" max="18" width="11.140625" bestFit="1" customWidth="1"/>
    <col min="19" max="20" width="10.7109375" customWidth="1"/>
    <col min="31" max="32" width="10.7109375" customWidth="1"/>
    <col min="34" max="35" width="10.7109375" customWidth="1"/>
    <col min="46" max="47" width="10.7109375" customWidth="1"/>
    <col min="49" max="50" width="10.7109375" customWidth="1"/>
    <col min="61" max="62" width="10.7109375" customWidth="1"/>
    <col min="64" max="65" width="10.7109375" customWidth="1"/>
    <col min="76" max="77" width="10.7109375" customWidth="1"/>
    <col min="79" max="80" width="10.7109375" customWidth="1"/>
    <col min="91" max="92" width="10.7109375" customWidth="1"/>
    <col min="94" max="95" width="10.7109375" customWidth="1"/>
    <col min="106" max="107" width="10.7109375" customWidth="1"/>
    <col min="109" max="110" width="10.7109375" customWidth="1"/>
    <col min="121" max="122" width="10.7109375" customWidth="1"/>
    <col min="124" max="125" width="10.7109375" customWidth="1"/>
    <col min="136" max="137" width="10.7109375" customWidth="1"/>
    <col min="139" max="140" width="10.7109375" customWidth="1"/>
  </cols>
  <sheetData>
    <row r="1" spans="1:18" ht="23.25" x14ac:dyDescent="0.35">
      <c r="A1" s="76" t="s">
        <v>961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</row>
    <row r="2" spans="1:18" x14ac:dyDescent="0.25">
      <c r="D2" s="77"/>
      <c r="E2" s="77" t="s">
        <v>4</v>
      </c>
      <c r="F2" s="77" t="s">
        <v>5</v>
      </c>
      <c r="G2" s="77" t="s">
        <v>6</v>
      </c>
      <c r="H2" s="77" t="s">
        <v>7</v>
      </c>
      <c r="I2" s="77" t="s">
        <v>968</v>
      </c>
      <c r="J2" s="77"/>
      <c r="K2" s="77"/>
    </row>
    <row r="3" spans="1:18" x14ac:dyDescent="0.25">
      <c r="A3" s="77" t="s">
        <v>962</v>
      </c>
      <c r="B3" s="78">
        <v>44054</v>
      </c>
      <c r="D3" s="79" t="s">
        <v>967</v>
      </c>
      <c r="E3" s="74">
        <v>24</v>
      </c>
      <c r="F3" s="74">
        <v>25</v>
      </c>
      <c r="G3" s="74">
        <v>49</v>
      </c>
      <c r="H3" s="74">
        <v>28</v>
      </c>
      <c r="I3" s="75">
        <v>22</v>
      </c>
    </row>
    <row r="4" spans="1:18" x14ac:dyDescent="0.25">
      <c r="A4" s="77" t="s">
        <v>963</v>
      </c>
      <c r="B4" s="79" t="s">
        <v>75</v>
      </c>
    </row>
    <row r="5" spans="1:18" x14ac:dyDescent="0.25">
      <c r="A5" s="77" t="s">
        <v>964</v>
      </c>
      <c r="B5" s="79" t="s">
        <v>965</v>
      </c>
      <c r="D5" s="80"/>
      <c r="E5" s="81" t="s">
        <v>9</v>
      </c>
      <c r="F5" s="81" t="s">
        <v>4</v>
      </c>
      <c r="G5" s="81" t="s">
        <v>5</v>
      </c>
      <c r="H5" s="81" t="s">
        <v>6</v>
      </c>
      <c r="I5" s="81" t="s">
        <v>7</v>
      </c>
      <c r="J5" s="81" t="s">
        <v>8</v>
      </c>
      <c r="K5" s="81" t="s">
        <v>21</v>
      </c>
      <c r="L5" s="81" t="s">
        <v>22</v>
      </c>
      <c r="M5" s="81" t="s">
        <v>23</v>
      </c>
      <c r="N5" s="81" t="s">
        <v>24</v>
      </c>
      <c r="O5" s="81" t="s">
        <v>31</v>
      </c>
      <c r="P5" s="81" t="s">
        <v>32</v>
      </c>
      <c r="Q5" s="81" t="s">
        <v>25</v>
      </c>
      <c r="R5" s="81" t="s">
        <v>969</v>
      </c>
    </row>
    <row r="6" spans="1:18" x14ac:dyDescent="0.25">
      <c r="A6" s="77" t="s">
        <v>2</v>
      </c>
      <c r="B6" s="79" t="s">
        <v>966</v>
      </c>
      <c r="D6" s="80" t="s">
        <v>970</v>
      </c>
      <c r="E6" s="82" t="s">
        <v>971</v>
      </c>
      <c r="F6">
        <v>1</v>
      </c>
      <c r="G6">
        <v>2</v>
      </c>
      <c r="H6">
        <v>3</v>
      </c>
      <c r="I6">
        <v>4</v>
      </c>
      <c r="J6">
        <v>5</v>
      </c>
      <c r="K6">
        <v>6</v>
      </c>
      <c r="Q6" s="82"/>
      <c r="R6" t="s">
        <v>47</v>
      </c>
    </row>
    <row r="7" spans="1:18" x14ac:dyDescent="0.25">
      <c r="A7" s="77" t="s">
        <v>20</v>
      </c>
      <c r="B7" s="79">
        <v>1</v>
      </c>
      <c r="E7" s="82" t="s">
        <v>972</v>
      </c>
      <c r="F7">
        <v>1</v>
      </c>
      <c r="G7">
        <v>2</v>
      </c>
      <c r="H7">
        <v>3</v>
      </c>
      <c r="I7">
        <v>4</v>
      </c>
      <c r="J7">
        <v>5</v>
      </c>
      <c r="K7">
        <v>6</v>
      </c>
      <c r="Q7" s="82"/>
      <c r="R7" t="s">
        <v>41</v>
      </c>
    </row>
    <row r="8" spans="1:18" x14ac:dyDescent="0.25">
      <c r="E8" s="82" t="s">
        <v>973</v>
      </c>
      <c r="F8">
        <v>1</v>
      </c>
      <c r="G8">
        <v>2</v>
      </c>
      <c r="H8">
        <v>3</v>
      </c>
      <c r="I8">
        <v>4</v>
      </c>
      <c r="J8">
        <v>5</v>
      </c>
      <c r="K8">
        <v>6</v>
      </c>
      <c r="Q8" s="82"/>
      <c r="R8" t="s">
        <v>43</v>
      </c>
    </row>
    <row r="9" spans="1:18" x14ac:dyDescent="0.25">
      <c r="E9" s="82" t="s">
        <v>974</v>
      </c>
      <c r="F9">
        <v>1</v>
      </c>
      <c r="G9">
        <v>2</v>
      </c>
      <c r="H9">
        <v>3</v>
      </c>
      <c r="I9">
        <v>4</v>
      </c>
      <c r="J9">
        <v>5</v>
      </c>
      <c r="K9">
        <v>6</v>
      </c>
      <c r="Q9" s="82"/>
      <c r="R9" t="s">
        <v>54</v>
      </c>
    </row>
    <row r="10" spans="1:18" x14ac:dyDescent="0.25">
      <c r="E10" s="82" t="s">
        <v>975</v>
      </c>
      <c r="F10">
        <v>41</v>
      </c>
      <c r="G10">
        <v>5</v>
      </c>
      <c r="H10">
        <v>14</v>
      </c>
      <c r="I10">
        <v>15</v>
      </c>
      <c r="J10">
        <v>19</v>
      </c>
      <c r="K10">
        <v>40</v>
      </c>
      <c r="Q10" s="82"/>
      <c r="R10" t="s">
        <v>48</v>
      </c>
    </row>
    <row r="11" spans="1:18" x14ac:dyDescent="0.25">
      <c r="E11" s="82" t="s">
        <v>976</v>
      </c>
      <c r="F11">
        <v>38</v>
      </c>
      <c r="G11">
        <v>12</v>
      </c>
      <c r="H11">
        <v>37</v>
      </c>
      <c r="I11">
        <v>43</v>
      </c>
      <c r="J11">
        <v>42</v>
      </c>
      <c r="K11">
        <v>1</v>
      </c>
      <c r="Q11" s="82"/>
      <c r="R11" t="s">
        <v>49</v>
      </c>
    </row>
    <row r="12" spans="1:18" x14ac:dyDescent="0.25">
      <c r="E12" s="82" t="s">
        <v>977</v>
      </c>
      <c r="F12" s="83">
        <v>25</v>
      </c>
      <c r="G12">
        <v>3</v>
      </c>
      <c r="H12" s="75">
        <v>22</v>
      </c>
      <c r="I12">
        <v>31</v>
      </c>
      <c r="J12">
        <v>38</v>
      </c>
      <c r="K12">
        <v>2</v>
      </c>
      <c r="Q12" s="82"/>
      <c r="R12" t="s">
        <v>50</v>
      </c>
    </row>
    <row r="13" spans="1:18" x14ac:dyDescent="0.25">
      <c r="E13" s="82" t="s">
        <v>978</v>
      </c>
      <c r="F13">
        <v>1</v>
      </c>
      <c r="G13">
        <v>2</v>
      </c>
      <c r="H13">
        <v>3</v>
      </c>
      <c r="I13">
        <v>4</v>
      </c>
      <c r="J13">
        <v>5</v>
      </c>
      <c r="K13">
        <v>6</v>
      </c>
      <c r="Q13" s="82"/>
      <c r="R13" t="s">
        <v>45</v>
      </c>
    </row>
    <row r="14" spans="1:18" x14ac:dyDescent="0.25">
      <c r="E14" s="82" t="s">
        <v>979</v>
      </c>
      <c r="F14">
        <v>15</v>
      </c>
      <c r="G14">
        <v>42</v>
      </c>
      <c r="H14">
        <v>46</v>
      </c>
      <c r="I14">
        <v>3</v>
      </c>
      <c r="J14">
        <v>10</v>
      </c>
      <c r="K14" s="83">
        <v>49</v>
      </c>
      <c r="Q14" s="82"/>
      <c r="R14" t="s">
        <v>51</v>
      </c>
    </row>
    <row r="15" spans="1:18" x14ac:dyDescent="0.25">
      <c r="E15" s="82" t="s">
        <v>980</v>
      </c>
      <c r="F15">
        <v>1</v>
      </c>
      <c r="G15">
        <v>2</v>
      </c>
      <c r="H15">
        <v>3</v>
      </c>
      <c r="I15">
        <v>4</v>
      </c>
      <c r="J15">
        <v>5</v>
      </c>
      <c r="K15">
        <v>6</v>
      </c>
      <c r="Q15" s="82"/>
      <c r="R15" t="s">
        <v>46</v>
      </c>
    </row>
    <row r="16" spans="1:18" x14ac:dyDescent="0.25">
      <c r="E16" s="82" t="s">
        <v>981</v>
      </c>
      <c r="F16">
        <v>46</v>
      </c>
      <c r="G16">
        <v>50</v>
      </c>
      <c r="H16">
        <v>35</v>
      </c>
      <c r="I16">
        <v>31</v>
      </c>
      <c r="J16">
        <v>37</v>
      </c>
      <c r="K16">
        <v>9</v>
      </c>
      <c r="Q16" s="82"/>
      <c r="R16" t="s">
        <v>52</v>
      </c>
    </row>
    <row r="17" spans="5:18" x14ac:dyDescent="0.25">
      <c r="E17" s="82" t="s">
        <v>982</v>
      </c>
      <c r="F17">
        <v>30</v>
      </c>
      <c r="G17">
        <v>50</v>
      </c>
      <c r="H17">
        <v>21</v>
      </c>
      <c r="I17">
        <v>33</v>
      </c>
      <c r="J17">
        <v>5</v>
      </c>
      <c r="K17">
        <v>18</v>
      </c>
      <c r="Q17" s="82"/>
      <c r="R17" t="s">
        <v>983</v>
      </c>
    </row>
  </sheetData>
  <dataConsolidate/>
  <mergeCells count="1">
    <mergeCell ref="A1:R1"/>
  </mergeCells>
  <pageMargins left="0.7" right="0.7" top="0.75" bottom="0.75" header="0.3" footer="0.3"/>
  <pageSetup paperSize="9" orientation="portrait" horizont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9235D-9FE0-4C8F-A612-CF7268BB8C10}">
  <sheetPr codeName="Hoja2"/>
  <dimension ref="A1:M13"/>
  <sheetViews>
    <sheetView workbookViewId="0">
      <selection activeCell="I10" sqref="I10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.140625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0.5703125" bestFit="1" customWidth="1"/>
    <col min="12" max="12" width="12" bestFit="1" customWidth="1"/>
    <col min="13" max="13" width="20.140625" bestFit="1" customWidth="1"/>
  </cols>
  <sheetData>
    <row r="1" spans="1:13" x14ac:dyDescent="0.25">
      <c r="A1" t="s">
        <v>9</v>
      </c>
      <c r="B1" s="43" t="s">
        <v>55</v>
      </c>
      <c r="C1" s="44" t="s">
        <v>56</v>
      </c>
      <c r="D1" s="44" t="s">
        <v>57</v>
      </c>
      <c r="E1" s="44" t="s">
        <v>58</v>
      </c>
      <c r="F1" s="44" t="s">
        <v>59</v>
      </c>
      <c r="G1" s="44" t="s">
        <v>60</v>
      </c>
      <c r="H1" s="44" t="s">
        <v>61</v>
      </c>
      <c r="I1" s="44" t="s">
        <v>62</v>
      </c>
      <c r="J1" s="44" t="s">
        <v>63</v>
      </c>
      <c r="K1" s="44" t="s">
        <v>64</v>
      </c>
      <c r="L1" s="44" t="s">
        <v>65</v>
      </c>
      <c r="M1" s="44" t="s">
        <v>66</v>
      </c>
    </row>
    <row r="2" spans="1:13" x14ac:dyDescent="0.25">
      <c r="A2">
        <v>1</v>
      </c>
      <c r="B2">
        <v>4</v>
      </c>
      <c r="C2">
        <v>6</v>
      </c>
      <c r="D2">
        <v>1</v>
      </c>
      <c r="E2">
        <v>1</v>
      </c>
      <c r="F2" t="b">
        <v>0</v>
      </c>
      <c r="G2">
        <v>0</v>
      </c>
      <c r="H2" t="b">
        <v>1</v>
      </c>
      <c r="I2">
        <v>90</v>
      </c>
      <c r="J2">
        <v>0</v>
      </c>
      <c r="L2" s="42">
        <v>43942</v>
      </c>
      <c r="M2" s="42">
        <v>44004</v>
      </c>
    </row>
    <row r="3" spans="1:13" x14ac:dyDescent="0.25">
      <c r="A3">
        <v>2</v>
      </c>
      <c r="B3">
        <v>4</v>
      </c>
      <c r="C3">
        <v>6</v>
      </c>
      <c r="D3">
        <v>1</v>
      </c>
      <c r="E3">
        <v>2</v>
      </c>
      <c r="F3" t="b">
        <v>0</v>
      </c>
      <c r="G3">
        <v>0</v>
      </c>
      <c r="H3" t="b">
        <v>1</v>
      </c>
      <c r="I3">
        <v>90</v>
      </c>
      <c r="J3">
        <v>0</v>
      </c>
      <c r="L3" s="42">
        <v>43942</v>
      </c>
      <c r="M3" s="42">
        <v>43980</v>
      </c>
    </row>
    <row r="4" spans="1:13" x14ac:dyDescent="0.25">
      <c r="A4">
        <v>3</v>
      </c>
      <c r="B4">
        <v>4</v>
      </c>
      <c r="C4">
        <v>6</v>
      </c>
      <c r="D4">
        <v>1</v>
      </c>
      <c r="E4">
        <v>4</v>
      </c>
      <c r="F4" t="b">
        <v>0</v>
      </c>
      <c r="G4">
        <v>0</v>
      </c>
      <c r="H4" t="b">
        <v>1</v>
      </c>
      <c r="I4">
        <v>60</v>
      </c>
      <c r="J4">
        <v>365</v>
      </c>
      <c r="L4" s="42">
        <v>43942</v>
      </c>
      <c r="M4" s="42">
        <v>43984</v>
      </c>
    </row>
    <row r="5" spans="1:13" x14ac:dyDescent="0.25">
      <c r="A5">
        <v>4</v>
      </c>
      <c r="B5">
        <v>4</v>
      </c>
      <c r="C5">
        <v>6</v>
      </c>
      <c r="D5">
        <v>1</v>
      </c>
      <c r="E5">
        <v>3</v>
      </c>
      <c r="F5" t="b">
        <v>0</v>
      </c>
      <c r="G5">
        <v>0</v>
      </c>
      <c r="H5" t="b">
        <v>0</v>
      </c>
      <c r="I5">
        <v>0</v>
      </c>
      <c r="J5">
        <v>42</v>
      </c>
      <c r="L5" s="42">
        <v>43942</v>
      </c>
      <c r="M5" s="42">
        <v>43998</v>
      </c>
    </row>
    <row r="6" spans="1:13" x14ac:dyDescent="0.25">
      <c r="A6">
        <v>5</v>
      </c>
      <c r="B6">
        <v>3</v>
      </c>
      <c r="C6">
        <v>6</v>
      </c>
      <c r="D6">
        <v>1</v>
      </c>
      <c r="E6">
        <v>1</v>
      </c>
      <c r="F6" t="b">
        <v>0</v>
      </c>
      <c r="G6">
        <v>0</v>
      </c>
      <c r="H6" t="b">
        <v>1</v>
      </c>
      <c r="I6">
        <v>15</v>
      </c>
      <c r="J6">
        <v>15</v>
      </c>
      <c r="L6" s="42">
        <v>43942</v>
      </c>
      <c r="M6" s="42">
        <v>43979</v>
      </c>
    </row>
    <row r="7" spans="1:13" x14ac:dyDescent="0.25">
      <c r="A7">
        <v>6</v>
      </c>
      <c r="B7">
        <v>1</v>
      </c>
      <c r="C7">
        <v>6</v>
      </c>
      <c r="D7">
        <v>1</v>
      </c>
      <c r="E7">
        <v>0</v>
      </c>
      <c r="F7" t="b">
        <v>1</v>
      </c>
      <c r="G7">
        <v>0</v>
      </c>
      <c r="H7" t="b">
        <v>0</v>
      </c>
      <c r="I7">
        <v>0</v>
      </c>
      <c r="J7">
        <v>0</v>
      </c>
      <c r="K7" t="s">
        <v>67</v>
      </c>
      <c r="L7" s="42">
        <v>43942</v>
      </c>
      <c r="M7" s="42">
        <v>43977</v>
      </c>
    </row>
    <row r="8" spans="1:13" x14ac:dyDescent="0.25">
      <c r="A8">
        <v>7</v>
      </c>
      <c r="B8">
        <v>1</v>
      </c>
      <c r="C8">
        <v>7</v>
      </c>
      <c r="D8">
        <v>1</v>
      </c>
      <c r="E8">
        <v>0</v>
      </c>
      <c r="F8" t="b">
        <v>1</v>
      </c>
      <c r="G8">
        <v>0</v>
      </c>
      <c r="H8" t="b">
        <v>0</v>
      </c>
      <c r="I8">
        <v>0</v>
      </c>
      <c r="J8">
        <v>0</v>
      </c>
      <c r="K8" t="s">
        <v>68</v>
      </c>
      <c r="L8" s="42">
        <v>43942</v>
      </c>
      <c r="M8" s="42">
        <v>43942</v>
      </c>
    </row>
    <row r="9" spans="1:13" x14ac:dyDescent="0.25">
      <c r="A9">
        <v>8</v>
      </c>
      <c r="B9">
        <v>4</v>
      </c>
      <c r="C9">
        <v>6</v>
      </c>
      <c r="D9">
        <v>1</v>
      </c>
      <c r="E9">
        <v>2</v>
      </c>
      <c r="F9" t="b">
        <v>0</v>
      </c>
      <c r="G9">
        <v>0</v>
      </c>
      <c r="H9" t="b">
        <v>0</v>
      </c>
      <c r="I9">
        <v>0</v>
      </c>
      <c r="J9">
        <v>45</v>
      </c>
      <c r="L9" s="42">
        <v>43942</v>
      </c>
      <c r="M9" s="42">
        <v>43978</v>
      </c>
    </row>
    <row r="10" spans="1:13" x14ac:dyDescent="0.25">
      <c r="A10">
        <v>9</v>
      </c>
      <c r="B10">
        <v>2</v>
      </c>
      <c r="C10">
        <v>6</v>
      </c>
      <c r="D10">
        <v>1</v>
      </c>
      <c r="E10">
        <v>0</v>
      </c>
      <c r="F10" t="b">
        <v>1</v>
      </c>
      <c r="G10">
        <v>0</v>
      </c>
      <c r="H10" t="b">
        <v>0</v>
      </c>
      <c r="I10">
        <v>0</v>
      </c>
      <c r="J10">
        <v>0</v>
      </c>
      <c r="K10" t="s">
        <v>69</v>
      </c>
      <c r="L10" s="42">
        <v>43942</v>
      </c>
      <c r="M10" s="42">
        <v>43942</v>
      </c>
    </row>
    <row r="11" spans="1:13" x14ac:dyDescent="0.25">
      <c r="A11">
        <v>10</v>
      </c>
      <c r="B11">
        <v>4</v>
      </c>
      <c r="C11">
        <v>6</v>
      </c>
      <c r="D11">
        <v>1</v>
      </c>
      <c r="E11">
        <v>2</v>
      </c>
      <c r="F11" t="b">
        <v>1</v>
      </c>
      <c r="G11">
        <v>0</v>
      </c>
      <c r="H11" t="b">
        <v>1</v>
      </c>
      <c r="I11">
        <v>56</v>
      </c>
      <c r="J11">
        <v>0</v>
      </c>
      <c r="L11" s="42">
        <v>43942</v>
      </c>
      <c r="M11" s="42">
        <v>43942</v>
      </c>
    </row>
    <row r="12" spans="1:13" x14ac:dyDescent="0.25">
      <c r="A12">
        <v>11</v>
      </c>
      <c r="B12">
        <v>2</v>
      </c>
      <c r="C12">
        <v>6</v>
      </c>
      <c r="D12">
        <v>1</v>
      </c>
      <c r="E12">
        <v>0</v>
      </c>
      <c r="F12" t="b">
        <v>1</v>
      </c>
      <c r="G12">
        <v>0</v>
      </c>
      <c r="H12" t="b">
        <v>0</v>
      </c>
      <c r="I12">
        <v>0</v>
      </c>
      <c r="J12">
        <v>0</v>
      </c>
      <c r="L12" s="42">
        <v>43942</v>
      </c>
      <c r="M12" s="42">
        <v>44004</v>
      </c>
    </row>
    <row r="13" spans="1:13" x14ac:dyDescent="0.25">
      <c r="A13">
        <v>12</v>
      </c>
      <c r="B13">
        <v>3</v>
      </c>
      <c r="C13">
        <v>6</v>
      </c>
      <c r="D13">
        <v>1</v>
      </c>
      <c r="E13">
        <v>4</v>
      </c>
      <c r="F13" t="b">
        <v>0</v>
      </c>
      <c r="G13">
        <v>0</v>
      </c>
      <c r="H13" t="b">
        <v>1</v>
      </c>
      <c r="I13">
        <v>30</v>
      </c>
      <c r="J13">
        <v>35</v>
      </c>
      <c r="L13" s="42">
        <v>43942</v>
      </c>
      <c r="M13" s="42">
        <v>44004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Resultados</vt:lpstr>
      <vt:lpstr>Boletos</vt:lpstr>
      <vt:lpstr>Apuestas</vt:lpstr>
      <vt:lpstr>MisApuestas</vt:lpstr>
      <vt:lpstr>Salida</vt:lpstr>
      <vt:lpstr>Metodos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Carlos Almela Baeza</cp:lastModifiedBy>
  <dcterms:created xsi:type="dcterms:W3CDTF">2015-06-05T18:19:34Z</dcterms:created>
  <dcterms:modified xsi:type="dcterms:W3CDTF">2020-08-10T17:19:57Z</dcterms:modified>
</cp:coreProperties>
</file>