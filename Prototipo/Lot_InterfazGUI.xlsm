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C:\fuentes\Lot_Excel\Prototipo\"/>
    </mc:Choice>
  </mc:AlternateContent>
  <xr:revisionPtr revIDLastSave="0" documentId="13_ncr:1_{0C00E34B-1A48-40C5-B023-C8A05375EA3A}" xr6:coauthVersionLast="40" xr6:coauthVersionMax="40" xr10:uidLastSave="{00000000-0000-0000-0000-000000000000}"/>
  <bookViews>
    <workbookView xWindow="0" yWindow="0" windowWidth="28800" windowHeight="11625" activeTab="1" xr2:uid="{00000000-000D-0000-FFFF-FFFF00000000}"/>
  </bookViews>
  <sheets>
    <sheet name="Portada" sheetId="1" r:id="rId1"/>
    <sheet name="Sorteos" sheetId="2" r:id="rId2"/>
    <sheet name="Apuestas" sheetId="7" r:id="rId3"/>
    <sheet name="Estadistica" sheetId="4" r:id="rId4"/>
    <sheet name="Sugerencias" sheetId="5" r:id="rId5"/>
    <sheet name="Contabilidad" sheetId="6" r:id="rId6"/>
    <sheet name="Salida" sheetId="8" r:id="rId7"/>
    <sheet name="Contexto" sheetId="3" r:id="rId8"/>
  </sheets>
  <definedNames>
    <definedName name="Participantes">Contexto!$K$2:$K$3</definedName>
    <definedName name="Periodo">Contexto!$I$2:$I$12</definedName>
    <definedName name="TipoBoleto">Contexto!$J$2:$J$4</definedName>
    <definedName name="TipoJuego">Contexto!$G$2:$G$6</definedName>
  </definedNames>
  <calcPr calcId="181029"/>
</workbook>
</file>

<file path=xl/calcChain.xml><?xml version="1.0" encoding="utf-8"?>
<calcChain xmlns="http://schemas.openxmlformats.org/spreadsheetml/2006/main">
  <c r="AF4" i="7" l="1"/>
  <c r="AF3" i="7"/>
  <c r="AD4" i="2"/>
  <c r="N4" i="1"/>
  <c r="Q7" i="7" l="1"/>
  <c r="Q6" i="7"/>
  <c r="L19" i="6" l="1"/>
  <c r="K19" i="6"/>
  <c r="J19" i="6"/>
  <c r="L18" i="6"/>
  <c r="L17" i="6"/>
  <c r="L16" i="6"/>
  <c r="L15" i="6"/>
  <c r="L14" i="6"/>
  <c r="L13" i="6"/>
  <c r="L12" i="6"/>
  <c r="L11" i="6"/>
  <c r="L10" i="6"/>
  <c r="L9" i="6"/>
  <c r="L8" i="6"/>
  <c r="L7" i="6"/>
  <c r="L6" i="6"/>
  <c r="J18" i="6" l="1"/>
  <c r="K18" i="6" s="1"/>
  <c r="H18" i="6"/>
  <c r="J17" i="6"/>
  <c r="K17" i="6" s="1"/>
  <c r="H17" i="6"/>
  <c r="H16" i="6"/>
  <c r="H15" i="6"/>
  <c r="H14" i="6"/>
  <c r="J13" i="6"/>
  <c r="K13" i="6" s="1"/>
  <c r="H13" i="6"/>
  <c r="J12" i="6"/>
  <c r="K12" i="6" s="1"/>
  <c r="H12" i="6"/>
  <c r="H11" i="6"/>
  <c r="H10" i="6"/>
  <c r="H9" i="6"/>
  <c r="H8" i="6"/>
  <c r="H7" i="6"/>
  <c r="H6" i="6"/>
  <c r="O3" i="6"/>
  <c r="O2" i="6"/>
  <c r="O1" i="6"/>
  <c r="S3" i="5"/>
  <c r="S2" i="5"/>
  <c r="S1" i="5"/>
  <c r="AA3" i="4"/>
  <c r="AA2" i="4"/>
  <c r="AA1" i="4"/>
  <c r="AF2" i="7"/>
  <c r="AF1" i="7"/>
  <c r="AD3" i="2"/>
  <c r="AD2" i="2"/>
  <c r="AD1" i="2"/>
  <c r="N3" i="1"/>
  <c r="N2" i="1"/>
  <c r="N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Carlos Almela Baeza</author>
  </authors>
  <commentList>
    <comment ref="Q9" authorId="0" shapeId="0" xr:uid="{8D579EFD-17DF-460E-898B-5D9948F3AB0A}">
      <text>
        <r>
          <rPr>
            <b/>
            <sz val="9"/>
            <color indexed="81"/>
            <rFont val="Tahoma"/>
            <family val="2"/>
          </rPr>
          <t>Detalle de Premios:</t>
        </r>
        <r>
          <rPr>
            <sz val="9"/>
            <color indexed="81"/>
            <rFont val="Tahoma"/>
            <family val="2"/>
          </rPr>
          <t xml:space="preserve">
Reintegro+(2) 5ª+ (1) 4ª
</t>
        </r>
      </text>
    </comment>
  </commentList>
</comments>
</file>

<file path=xl/sharedStrings.xml><?xml version="1.0" encoding="utf-8"?>
<sst xmlns="http://schemas.openxmlformats.org/spreadsheetml/2006/main" count="432" uniqueCount="154">
  <si>
    <t>Resumen</t>
  </si>
  <si>
    <t>Juego</t>
  </si>
  <si>
    <t>Periodo</t>
  </si>
  <si>
    <t>Bonoloto</t>
  </si>
  <si>
    <t>Ultima Semana</t>
  </si>
  <si>
    <t>Fecha</t>
  </si>
  <si>
    <t>Primitiva</t>
  </si>
  <si>
    <t>Dia</t>
  </si>
  <si>
    <t>C</t>
  </si>
  <si>
    <t>Euromillon</t>
  </si>
  <si>
    <t>Estadisticas</t>
  </si>
  <si>
    <t>Estadísticas</t>
  </si>
  <si>
    <t>90 sorteos</t>
  </si>
  <si>
    <t>L</t>
  </si>
  <si>
    <t>J</t>
  </si>
  <si>
    <t>Dom, 06/01/2019</t>
  </si>
  <si>
    <t>lun, 07/01/2019</t>
  </si>
  <si>
    <t>vie, 04/01/2019</t>
  </si>
  <si>
    <t>sab, 05/01/2019</t>
  </si>
  <si>
    <t>Actualizado</t>
  </si>
  <si>
    <t>Apuestas jugadas</t>
  </si>
  <si>
    <t>Bonoloto (2)</t>
  </si>
  <si>
    <t>Primitiva (1)</t>
  </si>
  <si>
    <t>Euromillon (0)</t>
  </si>
  <si>
    <t>Gordo (1)</t>
  </si>
  <si>
    <t>Apuestas</t>
  </si>
  <si>
    <t>Coste</t>
  </si>
  <si>
    <t>Premios</t>
  </si>
  <si>
    <t>Sugerencias</t>
  </si>
  <si>
    <t>Metodos</t>
  </si>
  <si>
    <t xml:space="preserve">Probabilidad 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</si>
  <si>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</si>
  <si>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</si>
  <si>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</si>
  <si>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</si>
  <si>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</si>
  <si>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</si>
  <si>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</si>
  <si>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</si>
  <si>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</si>
  <si>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</si>
  <si>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</si>
  <si>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Ultima Fecha</t>
  </si>
  <si>
    <t>Proxima Fecha</t>
  </si>
  <si>
    <t>Terminación</t>
  </si>
  <si>
    <t>Decena</t>
  </si>
  <si>
    <t>Paridad</t>
  </si>
  <si>
    <t>Peso</t>
  </si>
  <si>
    <t>Tendencia</t>
  </si>
  <si>
    <t>C.Ausencias</t>
  </si>
  <si>
    <t>impar</t>
  </si>
  <si>
    <t>bajo</t>
  </si>
  <si>
    <t>Medio</t>
  </si>
  <si>
    <t>B</t>
  </si>
  <si>
    <t>par</t>
  </si>
  <si>
    <t>Corto</t>
  </si>
  <si>
    <t>A</t>
  </si>
  <si>
    <t>alto</t>
  </si>
  <si>
    <t>Contabilidad</t>
  </si>
  <si>
    <t>Saldo inicial</t>
  </si>
  <si>
    <t>Concepto</t>
  </si>
  <si>
    <t>Semana</t>
  </si>
  <si>
    <t>Participante</t>
  </si>
  <si>
    <t>Ingresos</t>
  </si>
  <si>
    <t xml:space="preserve">Gasto </t>
  </si>
  <si>
    <t>Saldo</t>
  </si>
  <si>
    <t>Carlos Almela Baeza</t>
  </si>
  <si>
    <t>Pablo Holst Nielsen</t>
  </si>
  <si>
    <t>Cuota de Participación</t>
  </si>
  <si>
    <t>Sellado de Boletos</t>
  </si>
  <si>
    <t>Saldo Temporal</t>
  </si>
  <si>
    <t>Cobro Reintegro BL</t>
  </si>
  <si>
    <t>Total</t>
  </si>
  <si>
    <t>Boletos Jugados</t>
  </si>
  <si>
    <t>Complementario</t>
  </si>
  <si>
    <t>Si</t>
  </si>
  <si>
    <t>Reintegro</t>
  </si>
  <si>
    <t>Numero Sorteo</t>
  </si>
  <si>
    <t>Editar Boleto</t>
  </si>
  <si>
    <t>TipoJuego</t>
  </si>
  <si>
    <t>Ordenacion</t>
  </si>
  <si>
    <t>Personalizadas</t>
  </si>
  <si>
    <t>No</t>
  </si>
  <si>
    <t>Quincena Anterior</t>
  </si>
  <si>
    <t>Mes Anterior</t>
  </si>
  <si>
    <t>Gordo Primitiva</t>
  </si>
  <si>
    <t>Semana Actual</t>
  </si>
  <si>
    <t>Todos los Juegos</t>
  </si>
  <si>
    <t>Quincena Actual</t>
  </si>
  <si>
    <t>Mes Actual</t>
  </si>
  <si>
    <t>Ultima Quincena</t>
  </si>
  <si>
    <t>Ultimo Mes</t>
  </si>
  <si>
    <t>Ultimo Trimestre</t>
  </si>
  <si>
    <t>Ultimo Año</t>
  </si>
  <si>
    <t>Multiple</t>
  </si>
  <si>
    <t>Fecha Validez</t>
  </si>
  <si>
    <t>Joker/Millon</t>
  </si>
  <si>
    <t>Id</t>
  </si>
  <si>
    <t>E</t>
  </si>
  <si>
    <t>Consultar Boletos</t>
  </si>
  <si>
    <t>Semanal</t>
  </si>
  <si>
    <t>TipoBoleto</t>
  </si>
  <si>
    <t>Diario</t>
  </si>
  <si>
    <t>Dos Semanas</t>
  </si>
  <si>
    <t>Filtros</t>
  </si>
  <si>
    <t>Boletos</t>
  </si>
  <si>
    <t>N. Apuestas</t>
  </si>
  <si>
    <t>TDG58897</t>
  </si>
  <si>
    <t>Participantes</t>
  </si>
  <si>
    <t>Carlos Almela</t>
  </si>
  <si>
    <t>Pablo Holst</t>
  </si>
  <si>
    <t>Comentarios</t>
  </si>
  <si>
    <t>Notas del boleto</t>
  </si>
  <si>
    <t>Fecha Sorteo</t>
  </si>
  <si>
    <t>BL</t>
  </si>
  <si>
    <t>Página: n/m</t>
  </si>
  <si>
    <t>Sem.</t>
  </si>
  <si>
    <t>Fecha Final</t>
  </si>
  <si>
    <t>Fecha Inicial</t>
  </si>
  <si>
    <t>Situación</t>
  </si>
  <si>
    <t>Borrador</t>
  </si>
  <si>
    <t>Editar Sorteo</t>
  </si>
  <si>
    <t>Categoria</t>
  </si>
  <si>
    <t>Premio</t>
  </si>
  <si>
    <t>Dia de la semana</t>
  </si>
  <si>
    <t>Orden de aparicion</t>
  </si>
  <si>
    <t>Combinacion ganadora</t>
  </si>
  <si>
    <t>1ª 5 + 2</t>
  </si>
  <si>
    <t>2ª 5 + 1</t>
  </si>
  <si>
    <t>3ª 5 + 0</t>
  </si>
  <si>
    <t>4ª 4 + 2</t>
  </si>
  <si>
    <t>5ª 4 + 1</t>
  </si>
  <si>
    <t>6ª 3 + 2</t>
  </si>
  <si>
    <t>7ª 4 + 0</t>
  </si>
  <si>
    <t>8ª 2 + 2</t>
  </si>
  <si>
    <t>9ª 3 + 1</t>
  </si>
  <si>
    <t>10ª 3 + 0</t>
  </si>
  <si>
    <t>11ª 1 + 2</t>
  </si>
  <si>
    <t>12ª 2 + 1</t>
  </si>
  <si>
    <t>13ª 2 + 0</t>
  </si>
  <si>
    <t>2019/21</t>
  </si>
  <si>
    <t>Consultar Sorteos</t>
  </si>
  <si>
    <t>Combinación Ganadora</t>
  </si>
  <si>
    <t>Año 2019</t>
  </si>
  <si>
    <t>Ultima actualización:</t>
  </si>
  <si>
    <t>Semana en curso</t>
  </si>
  <si>
    <t>Apuestas realizadas</t>
  </si>
  <si>
    <t>Apuestas premiadas</t>
  </si>
  <si>
    <t>Usuario</t>
  </si>
  <si>
    <t>Charly</t>
  </si>
  <si>
    <t>Sorteos pendientes Semana 42 (14-Oct)</t>
  </si>
  <si>
    <t>Boletos Premiados</t>
  </si>
  <si>
    <t>Página:</t>
  </si>
  <si>
    <t>Consulta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</si>
</sst>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&quot;€&quot;#,##0_);[Red]\(&quot;€&quot;#,##0\)"/>
    <numFmt numFmtId="165" formatCode="_(&quot;€&quot;* #,##0.00_);_(&quot;€&quot;* \(#,##0.00\);_(&quot;€&quot;* &quot;-&quot;??_);_(@_)"/>
    <numFmt numFmtId="166" formatCode="00"/>
    <numFmt numFmtId="167" formatCode="0.000%"/>
    <numFmt numFmtId="168" formatCode="#,##0.0\ &quot;€&quot;;[Red]\-#,##0.0\ &quot;€&quot;"/>
  </numFmts>
  <fonts count="27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13"/>
      <name val="Calibri"/>
      <family val="2"/>
      <scheme val="minor"/>
    </font>
    <font>
      <b/>
      <sz val="10"/>
      <color indexed="9"/>
      <name val="Arial"/>
      <family val="2"/>
    </font>
    <font>
      <sz val="10"/>
      <color rgb="FF3333CC"/>
      <name val="Arial"/>
      <family val="2"/>
    </font>
    <font>
      <sz val="10"/>
      <color indexed="12"/>
      <name val="Arial"/>
      <family val="2"/>
    </font>
    <font>
      <sz val="10"/>
      <color indexed="10"/>
      <name val="Arial"/>
      <family val="2"/>
    </font>
    <font>
      <sz val="10"/>
      <color rgb="FFFF0000"/>
      <name val="Arial"/>
      <family val="2"/>
    </font>
    <font>
      <b/>
      <sz val="10"/>
      <color indexed="12"/>
      <name val="Arial"/>
      <family val="2"/>
    </font>
    <font>
      <b/>
      <sz val="10"/>
      <color indexed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5117038483843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8">
    <xf numFmtId="0" fontId="0" fillId="0" borderId="0"/>
    <xf numFmtId="0" fontId="1" fillId="0" borderId="1" applyNumberFormat="0" applyFill="0" applyAlignment="0" applyProtection="0"/>
    <xf numFmtId="0" fontId="3" fillId="0" borderId="0"/>
    <xf numFmtId="0" fontId="3" fillId="0" borderId="0"/>
    <xf numFmtId="165" fontId="3" fillId="0" borderId="0" applyFont="0" applyFill="0" applyBorder="0" applyAlignment="0" applyProtection="0"/>
    <xf numFmtId="0" fontId="6" fillId="20" borderId="0" applyNumberFormat="0" applyBorder="0" applyAlignment="0" applyProtection="0"/>
    <xf numFmtId="0" fontId="6" fillId="21" borderId="0" applyNumberFormat="0" applyBorder="0" applyAlignment="0" applyProtection="0"/>
    <xf numFmtId="165" fontId="6" fillId="0" borderId="0" applyFont="0" applyFill="0" applyBorder="0" applyAlignment="0" applyProtection="0"/>
  </cellStyleXfs>
  <cellXfs count="114">
    <xf numFmtId="0" fontId="0" fillId="0" borderId="0" xfId="0"/>
    <xf numFmtId="0" fontId="0" fillId="2" borderId="0" xfId="0" applyFill="1"/>
    <xf numFmtId="0" fontId="0" fillId="3" borderId="0" xfId="0" applyFill="1"/>
    <xf numFmtId="0" fontId="1" fillId="0" borderId="1" xfId="1"/>
    <xf numFmtId="0" fontId="0" fillId="4" borderId="0" xfId="0" applyFill="1"/>
    <xf numFmtId="0" fontId="0" fillId="5" borderId="0" xfId="0" applyFill="1"/>
    <xf numFmtId="0" fontId="2" fillId="5" borderId="0" xfId="0" applyFont="1" applyFill="1"/>
    <xf numFmtId="0" fontId="0" fillId="9" borderId="0" xfId="0" applyFill="1"/>
    <xf numFmtId="0" fontId="2" fillId="9" borderId="0" xfId="0" applyFont="1" applyFill="1"/>
    <xf numFmtId="166" fontId="0" fillId="0" borderId="0" xfId="0" applyNumberFormat="1"/>
    <xf numFmtId="1" fontId="0" fillId="0" borderId="0" xfId="0" applyNumberFormat="1"/>
    <xf numFmtId="167" fontId="7" fillId="10" borderId="0" xfId="0" applyNumberFormat="1" applyFont="1" applyFill="1"/>
    <xf numFmtId="167" fontId="0" fillId="11" borderId="0" xfId="0" applyNumberFormat="1" applyFill="1"/>
    <xf numFmtId="1" fontId="0" fillId="6" borderId="0" xfId="0" applyNumberFormat="1" applyFill="1"/>
    <xf numFmtId="1" fontId="7" fillId="10" borderId="0" xfId="0" applyNumberFormat="1" applyFont="1" applyFill="1"/>
    <xf numFmtId="14" fontId="0" fillId="0" borderId="0" xfId="0" applyNumberFormat="1"/>
    <xf numFmtId="14" fontId="7" fillId="10" borderId="0" xfId="0" applyNumberFormat="1" applyFont="1" applyFill="1"/>
    <xf numFmtId="167" fontId="0" fillId="6" borderId="0" xfId="0" applyNumberFormat="1" applyFill="1"/>
    <xf numFmtId="1" fontId="0" fillId="7" borderId="0" xfId="0" applyNumberFormat="1" applyFill="1"/>
    <xf numFmtId="167" fontId="0" fillId="12" borderId="0" xfId="0" applyNumberFormat="1" applyFill="1"/>
    <xf numFmtId="1" fontId="0" fillId="12" borderId="0" xfId="0" applyNumberFormat="1" applyFill="1"/>
    <xf numFmtId="167" fontId="0" fillId="8" borderId="0" xfId="0" applyNumberFormat="1" applyFill="1"/>
    <xf numFmtId="1" fontId="0" fillId="11" borderId="0" xfId="0" applyNumberFormat="1" applyFill="1"/>
    <xf numFmtId="167" fontId="0" fillId="7" borderId="0" xfId="0" applyNumberFormat="1" applyFill="1"/>
    <xf numFmtId="1" fontId="0" fillId="8" borderId="0" xfId="0" applyNumberFormat="1" applyFill="1"/>
    <xf numFmtId="14" fontId="0" fillId="6" borderId="0" xfId="0" applyNumberFormat="1" applyFill="1"/>
    <xf numFmtId="14" fontId="0" fillId="7" borderId="0" xfId="0" applyNumberFormat="1" applyFill="1"/>
    <xf numFmtId="14" fontId="0" fillId="11" borderId="0" xfId="0" applyNumberFormat="1" applyFill="1"/>
    <xf numFmtId="0" fontId="0" fillId="13" borderId="0" xfId="0" applyFill="1"/>
    <xf numFmtId="0" fontId="2" fillId="13" borderId="0" xfId="0" applyFont="1" applyFill="1"/>
    <xf numFmtId="0" fontId="0" fillId="14" borderId="0" xfId="0" applyFill="1"/>
    <xf numFmtId="0" fontId="2" fillId="14" borderId="0" xfId="0" applyFont="1" applyFill="1"/>
    <xf numFmtId="0" fontId="8" fillId="15" borderId="0" xfId="3" applyFont="1" applyFill="1" applyAlignment="1">
      <alignment horizontal="left" vertical="top" wrapText="1"/>
    </xf>
    <xf numFmtId="0" fontId="8" fillId="15" borderId="0" xfId="3" applyFont="1" applyFill="1" applyAlignment="1">
      <alignment horizontal="right" vertical="top" wrapText="1"/>
    </xf>
    <xf numFmtId="14" fontId="3" fillId="16" borderId="0" xfId="0" applyNumberFormat="1" applyFont="1" applyFill="1" applyAlignment="1" applyProtection="1">
      <alignment horizontal="right" vertical="top" wrapText="1"/>
      <protection locked="0"/>
    </xf>
    <xf numFmtId="0" fontId="4" fillId="16" borderId="0" xfId="0" applyFont="1" applyFill="1" applyAlignment="1" applyProtection="1">
      <alignment horizontal="left" vertical="top" wrapText="1"/>
      <protection locked="0"/>
    </xf>
    <xf numFmtId="1" fontId="4" fillId="16" borderId="0" xfId="0" applyNumberFormat="1" applyFont="1" applyFill="1" applyAlignment="1">
      <alignment horizontal="right" vertical="top" wrapText="1"/>
    </xf>
    <xf numFmtId="0" fontId="9" fillId="16" borderId="0" xfId="0" applyFont="1" applyFill="1" applyAlignment="1">
      <alignment horizontal="left" vertical="top" wrapText="1"/>
    </xf>
    <xf numFmtId="165" fontId="10" fillId="16" borderId="0" xfId="4" applyFont="1" applyFill="1" applyAlignment="1">
      <alignment horizontal="right" vertical="top" wrapText="1"/>
    </xf>
    <xf numFmtId="165" fontId="11" fillId="16" borderId="0" xfId="4" applyFont="1" applyFill="1" applyAlignment="1">
      <alignment horizontal="right" vertical="top" wrapText="1"/>
    </xf>
    <xf numFmtId="165" fontId="3" fillId="16" borderId="0" xfId="4" applyFill="1" applyAlignment="1">
      <alignment horizontal="right" vertical="top" wrapText="1"/>
    </xf>
    <xf numFmtId="0" fontId="12" fillId="16" borderId="0" xfId="0" applyFont="1" applyFill="1" applyAlignment="1">
      <alignment horizontal="left" vertical="top" wrapText="1"/>
    </xf>
    <xf numFmtId="14" fontId="3" fillId="0" borderId="0" xfId="3" applyNumberFormat="1" applyAlignment="1">
      <alignment horizontal="right" vertical="top" wrapText="1"/>
    </xf>
    <xf numFmtId="0" fontId="4" fillId="0" borderId="0" xfId="0" applyFont="1" applyAlignment="1" applyProtection="1">
      <alignment horizontal="left" vertical="top" wrapText="1"/>
      <protection locked="0"/>
    </xf>
    <xf numFmtId="1" fontId="4" fillId="0" borderId="0" xfId="0" applyNumberFormat="1" applyFont="1" applyAlignment="1">
      <alignment horizontal="right" vertical="top" wrapText="1"/>
    </xf>
    <xf numFmtId="0" fontId="12" fillId="0" borderId="0" xfId="0" applyFont="1" applyAlignment="1">
      <alignment horizontal="left" vertical="top" wrapText="1"/>
    </xf>
    <xf numFmtId="165" fontId="10" fillId="0" borderId="0" xfId="4" applyFont="1" applyAlignment="1">
      <alignment horizontal="right" vertical="top" wrapText="1"/>
    </xf>
    <xf numFmtId="165" fontId="11" fillId="0" borderId="0" xfId="4" applyFont="1" applyAlignment="1">
      <alignment horizontal="right" vertical="top" wrapText="1"/>
    </xf>
    <xf numFmtId="165" fontId="3" fillId="0" borderId="0" xfId="4" applyAlignment="1">
      <alignment horizontal="right" vertical="top" wrapText="1"/>
    </xf>
    <xf numFmtId="0" fontId="9" fillId="0" borderId="0" xfId="0" applyFont="1" applyAlignment="1">
      <alignment horizontal="left" vertical="top" wrapText="1"/>
    </xf>
    <xf numFmtId="0" fontId="4" fillId="17" borderId="0" xfId="0" applyFont="1" applyFill="1" applyAlignment="1" applyProtection="1">
      <alignment horizontal="left" vertical="top" wrapText="1"/>
      <protection locked="0"/>
    </xf>
    <xf numFmtId="1" fontId="4" fillId="0" borderId="0" xfId="3" applyNumberFormat="1" applyFont="1" applyAlignment="1">
      <alignment horizontal="right" vertical="top" wrapText="1"/>
    </xf>
    <xf numFmtId="0" fontId="3" fillId="0" borderId="0" xfId="0" applyFont="1" applyAlignment="1">
      <alignment horizontal="right" vertical="top" wrapText="1"/>
    </xf>
    <xf numFmtId="0" fontId="4" fillId="0" borderId="0" xfId="0" applyFont="1" applyAlignment="1">
      <alignment horizontal="right" vertical="top" wrapText="1"/>
    </xf>
    <xf numFmtId="165" fontId="13" fillId="0" borderId="0" xfId="0" applyNumberFormat="1" applyFont="1" applyAlignment="1">
      <alignment horizontal="right" vertical="top" wrapText="1"/>
    </xf>
    <xf numFmtId="165" fontId="14" fillId="0" borderId="0" xfId="0" applyNumberFormat="1" applyFont="1" applyAlignment="1">
      <alignment horizontal="right" vertical="top" wrapText="1"/>
    </xf>
    <xf numFmtId="165" fontId="2" fillId="0" borderId="0" xfId="0" applyNumberFormat="1" applyFont="1" applyAlignment="1">
      <alignment horizontal="right" vertical="top" wrapText="1"/>
    </xf>
    <xf numFmtId="0" fontId="2" fillId="2" borderId="0" xfId="0" applyFont="1" applyFill="1"/>
    <xf numFmtId="0" fontId="15" fillId="3" borderId="0" xfId="0" applyFont="1" applyFill="1"/>
    <xf numFmtId="0" fontId="16" fillId="3" borderId="0" xfId="0" applyFont="1" applyFill="1"/>
    <xf numFmtId="0" fontId="2" fillId="4" borderId="3" xfId="0" applyFont="1" applyFill="1" applyBorder="1"/>
    <xf numFmtId="0" fontId="0" fillId="4" borderId="4" xfId="0" applyFill="1" applyBorder="1"/>
    <xf numFmtId="0" fontId="0" fillId="4" borderId="5" xfId="0" applyFill="1" applyBorder="1"/>
    <xf numFmtId="0" fontId="0" fillId="4" borderId="6" xfId="0" applyFill="1" applyBorder="1"/>
    <xf numFmtId="0" fontId="5" fillId="4" borderId="0" xfId="0" applyFont="1" applyFill="1"/>
    <xf numFmtId="0" fontId="0" fillId="4" borderId="7" xfId="0" applyFill="1" applyBorder="1"/>
    <xf numFmtId="0" fontId="0" fillId="4" borderId="8" xfId="0" applyFill="1" applyBorder="1"/>
    <xf numFmtId="0" fontId="0" fillId="4" borderId="2" xfId="0" applyFill="1" applyBorder="1"/>
    <xf numFmtId="0" fontId="0" fillId="4" borderId="9" xfId="0" applyFill="1" applyBorder="1"/>
    <xf numFmtId="0" fontId="2" fillId="4" borderId="5" xfId="0" applyFont="1" applyFill="1" applyBorder="1"/>
    <xf numFmtId="0" fontId="2" fillId="4" borderId="6" xfId="0" applyFont="1" applyFill="1" applyBorder="1"/>
    <xf numFmtId="0" fontId="2" fillId="4" borderId="7" xfId="0" applyFont="1" applyFill="1" applyBorder="1"/>
    <xf numFmtId="164" fontId="0" fillId="4" borderId="5" xfId="0" applyNumberFormat="1" applyFill="1" applyBorder="1"/>
    <xf numFmtId="164" fontId="0" fillId="4" borderId="7" xfId="0" applyNumberFormat="1" applyFill="1" applyBorder="1"/>
    <xf numFmtId="0" fontId="0" fillId="18" borderId="0" xfId="0" applyFill="1"/>
    <xf numFmtId="0" fontId="0" fillId="19" borderId="0" xfId="0" applyFill="1"/>
    <xf numFmtId="0" fontId="6" fillId="20" borderId="0" xfId="5"/>
    <xf numFmtId="0" fontId="6" fillId="21" borderId="0" xfId="6"/>
    <xf numFmtId="0" fontId="17" fillId="19" borderId="0" xfId="0" applyFont="1" applyFill="1"/>
    <xf numFmtId="0" fontId="0" fillId="23" borderId="0" xfId="0" applyFill="1"/>
    <xf numFmtId="0" fontId="0" fillId="24" borderId="0" xfId="0" applyFill="1"/>
    <xf numFmtId="0" fontId="17" fillId="5" borderId="0" xfId="0" applyFont="1" applyFill="1"/>
    <xf numFmtId="0" fontId="17" fillId="0" borderId="10" xfId="0" applyFont="1" applyFill="1" applyBorder="1"/>
    <xf numFmtId="0" fontId="17" fillId="4" borderId="0" xfId="0" applyFont="1" applyFill="1"/>
    <xf numFmtId="0" fontId="17" fillId="0" borderId="0" xfId="0" applyFont="1"/>
    <xf numFmtId="0" fontId="0" fillId="25" borderId="0" xfId="0" applyFill="1"/>
    <xf numFmtId="0" fontId="2" fillId="25" borderId="0" xfId="0" applyFont="1" applyFill="1"/>
    <xf numFmtId="0" fontId="22" fillId="22" borderId="0" xfId="0" applyFont="1" applyFill="1" applyAlignment="1">
      <alignment horizontal="center"/>
    </xf>
    <xf numFmtId="0" fontId="22" fillId="22" borderId="11" xfId="0" applyFont="1" applyFill="1" applyBorder="1" applyAlignment="1">
      <alignment horizontal="center"/>
    </xf>
    <xf numFmtId="14" fontId="17" fillId="0" borderId="10" xfId="0" applyNumberFormat="1" applyFont="1" applyFill="1" applyBorder="1"/>
    <xf numFmtId="165" fontId="17" fillId="0" borderId="10" xfId="7" applyFont="1" applyFill="1" applyBorder="1"/>
    <xf numFmtId="0" fontId="23" fillId="18" borderId="0" xfId="0" applyFont="1" applyFill="1" applyAlignment="1"/>
    <xf numFmtId="0" fontId="23" fillId="25" borderId="0" xfId="0" applyFont="1" applyFill="1" applyAlignment="1"/>
    <xf numFmtId="0" fontId="5" fillId="22" borderId="2" xfId="0" applyFont="1" applyFill="1" applyBorder="1" applyAlignment="1">
      <alignment horizontal="center"/>
    </xf>
    <xf numFmtId="0" fontId="25" fillId="13" borderId="0" xfId="0" applyFont="1" applyFill="1"/>
    <xf numFmtId="0" fontId="17" fillId="26" borderId="10" xfId="0" applyFont="1" applyFill="1" applyBorder="1"/>
    <xf numFmtId="14" fontId="17" fillId="26" borderId="10" xfId="0" applyNumberFormat="1" applyFont="1" applyFill="1" applyBorder="1"/>
    <xf numFmtId="165" fontId="17" fillId="26" borderId="10" xfId="7" applyFont="1" applyFill="1" applyBorder="1"/>
    <xf numFmtId="0" fontId="0" fillId="26" borderId="0" xfId="0" applyFill="1"/>
    <xf numFmtId="0" fontId="26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right" indent="1"/>
    </xf>
    <xf numFmtId="0" fontId="2" fillId="25" borderId="0" xfId="0" applyFont="1" applyFill="1" applyAlignment="1">
      <alignment horizontal="right"/>
    </xf>
    <xf numFmtId="14" fontId="0" fillId="18" borderId="0" xfId="0" applyNumberFormat="1" applyFill="1" applyAlignment="1">
      <alignment horizontal="left"/>
    </xf>
    <xf numFmtId="0" fontId="0" fillId="18" borderId="0" xfId="0" applyFill="1" applyAlignment="1">
      <alignment horizontal="left"/>
    </xf>
    <xf numFmtId="0" fontId="24" fillId="22" borderId="0" xfId="0" applyFont="1" applyFill="1" applyAlignment="1">
      <alignment horizontal="center" vertical="center"/>
    </xf>
    <xf numFmtId="0" fontId="2" fillId="22" borderId="0" xfId="0" applyFont="1" applyFill="1" applyAlignment="1">
      <alignment horizontal="left"/>
    </xf>
    <xf numFmtId="0" fontId="18" fillId="18" borderId="0" xfId="0" applyFont="1" applyFill="1" applyAlignment="1">
      <alignment horizontal="left"/>
    </xf>
    <xf numFmtId="0" fontId="19" fillId="19" borderId="2" xfId="0" applyFont="1" applyFill="1" applyBorder="1" applyAlignment="1">
      <alignment horizontal="center"/>
    </xf>
    <xf numFmtId="0" fontId="2" fillId="19" borderId="0" xfId="0" applyFont="1" applyFill="1" applyAlignment="1">
      <alignment horizontal="right"/>
    </xf>
    <xf numFmtId="168" fontId="0" fillId="18" borderId="0" xfId="0" applyNumberFormat="1" applyFill="1" applyAlignment="1">
      <alignment horizontal="left"/>
    </xf>
    <xf numFmtId="164" fontId="0" fillId="18" borderId="0" xfId="0" applyNumberFormat="1" applyFill="1" applyAlignment="1">
      <alignment horizontal="left"/>
    </xf>
    <xf numFmtId="0" fontId="0" fillId="22" borderId="0" xfId="0" applyFill="1" applyAlignment="1">
      <alignment horizontal="left"/>
    </xf>
    <xf numFmtId="0" fontId="18" fillId="18" borderId="0" xfId="0" applyFont="1" applyFill="1" applyAlignment="1">
      <alignment horizontal="left" vertical="top"/>
    </xf>
    <xf numFmtId="0" fontId="0" fillId="25" borderId="0" xfId="0" applyFill="1" applyAlignment="1">
      <alignment horizontal="left"/>
    </xf>
  </cellXfs>
  <cellStyles count="8">
    <cellStyle name="20% - Énfasis2" xfId="5" builtinId="34"/>
    <cellStyle name="60% - Énfasis2" xfId="6" builtinId="36"/>
    <cellStyle name="Encabezado 1" xfId="1" builtinId="16"/>
    <cellStyle name="Moneda" xfId="7" builtinId="4"/>
    <cellStyle name="Moneda 2" xfId="4" xr:uid="{669A5300-C39D-4D05-9F85-694779ABAE83}"/>
    <cellStyle name="Normal" xfId="0" builtinId="0"/>
    <cellStyle name="Normal 5" xfId="2" xr:uid="{D8F38E40-33B1-4B99-9FC2-4CDD4F25D91C}"/>
    <cellStyle name="Normal 5 2" xfId="3" xr:uid="{ED52A2A1-EBF5-404B-8297-F2C1464A807F}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13"/>
        <name val="Calibri"/>
        <family val="2"/>
        <scheme val="minor"/>
      </font>
      <numFmt numFmtId="169" formatCode="m/d/yyyy"/>
      <fill>
        <patternFill patternType="solid">
          <fgColor indexed="64"/>
          <bgColor indexed="10"/>
        </patternFill>
      </fill>
    </dxf>
    <dxf>
      <numFmt numFmtId="169" formatCode="m/d/yyyy"/>
    </dxf>
    <dxf>
      <numFmt numFmtId="1" formatCode="0"/>
    </dxf>
    <dxf>
      <numFmt numFmtId="1" formatCode="0"/>
    </dxf>
    <dxf>
      <numFmt numFmtId="167" formatCode="0.000%"/>
      <fill>
        <patternFill patternType="solid">
          <fgColor indexed="64"/>
          <bgColor indexed="48"/>
        </patternFill>
      </fill>
    </dxf>
    <dxf>
      <numFmt numFmtId="167" formatCode="0.000%"/>
      <fill>
        <patternFill patternType="solid">
          <fgColor indexed="64"/>
          <bgColor indexed="48"/>
        </patternFill>
      </fill>
    </dxf>
    <dxf>
      <numFmt numFmtId="167" formatCode="0.000%"/>
      <fill>
        <patternFill patternType="solid">
          <fgColor indexed="64"/>
          <bgColor indexed="42"/>
        </patternFill>
      </fill>
    </dxf>
    <dxf>
      <numFmt numFmtId="1" formatCode="0"/>
    </dxf>
    <dxf>
      <numFmt numFmtId="1" formatCode="0"/>
    </dxf>
    <dxf>
      <numFmt numFmtId="166" formatCode="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171450</xdr:colOff>
      <xdr:row>3</xdr:row>
      <xdr:rowOff>110823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936C191-1059-4301-BF99-A62F5405E711}"/>
            </a:ext>
          </a:extLst>
        </xdr:cNvPr>
        <xdr:cNvSpPr/>
      </xdr:nvSpPr>
      <xdr:spPr>
        <a:xfrm>
          <a:off x="171450" y="739473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171450</xdr:colOff>
      <xdr:row>5</xdr:row>
      <xdr:rowOff>101298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B8C7B4EB-A006-44E1-AEC4-BE1B1DF3A8EB}"/>
            </a:ext>
          </a:extLst>
        </xdr:cNvPr>
        <xdr:cNvSpPr/>
      </xdr:nvSpPr>
      <xdr:spPr>
        <a:xfrm>
          <a:off x="171450" y="1110948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171450</xdr:colOff>
      <xdr:row>7</xdr:row>
      <xdr:rowOff>91773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B6E3BB19-D3F3-47FB-8C2F-8149B93CD907}"/>
            </a:ext>
          </a:extLst>
        </xdr:cNvPr>
        <xdr:cNvSpPr/>
      </xdr:nvSpPr>
      <xdr:spPr>
        <a:xfrm>
          <a:off x="171450" y="1482423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171450</xdr:colOff>
      <xdr:row>9</xdr:row>
      <xdr:rowOff>82248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FD40727-2674-4CBF-BC17-852036B5E82D}"/>
            </a:ext>
          </a:extLst>
        </xdr:cNvPr>
        <xdr:cNvSpPr/>
      </xdr:nvSpPr>
      <xdr:spPr>
        <a:xfrm>
          <a:off x="171450" y="1853898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171450</xdr:colOff>
      <xdr:row>11</xdr:row>
      <xdr:rowOff>72723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A598B21-E402-447F-A87E-6E6ECEF11F6D}"/>
            </a:ext>
          </a:extLst>
        </xdr:cNvPr>
        <xdr:cNvSpPr/>
      </xdr:nvSpPr>
      <xdr:spPr>
        <a:xfrm>
          <a:off x="171450" y="2225373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171450</xdr:colOff>
      <xdr:row>13</xdr:row>
      <xdr:rowOff>63198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1FA9C09D-658F-4E6C-BA6A-237619AEAE98}"/>
            </a:ext>
          </a:extLst>
        </xdr:cNvPr>
        <xdr:cNvSpPr/>
      </xdr:nvSpPr>
      <xdr:spPr>
        <a:xfrm>
          <a:off x="171450" y="2596848"/>
          <a:ext cx="2609850" cy="29270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142875</xdr:colOff>
      <xdr:row>3</xdr:row>
      <xdr:rowOff>133350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F3345F4-740B-4145-8D13-AD616159A16B}"/>
            </a:ext>
          </a:extLst>
        </xdr:cNvPr>
        <xdr:cNvSpPr/>
      </xdr:nvSpPr>
      <xdr:spPr>
        <a:xfrm>
          <a:off x="142875" y="762000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142875</xdr:colOff>
      <xdr:row>5</xdr:row>
      <xdr:rowOff>123825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D23B9FE7-C2F2-4202-9C6D-3802FD93AAA2}"/>
            </a:ext>
          </a:extLst>
        </xdr:cNvPr>
        <xdr:cNvSpPr/>
      </xdr:nvSpPr>
      <xdr:spPr>
        <a:xfrm>
          <a:off x="142875" y="1133475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142875</xdr:colOff>
      <xdr:row>7</xdr:row>
      <xdr:rowOff>114300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1B25CA8-0392-4394-A331-3CFECE9344BA}"/>
            </a:ext>
          </a:extLst>
        </xdr:cNvPr>
        <xdr:cNvSpPr/>
      </xdr:nvSpPr>
      <xdr:spPr>
        <a:xfrm>
          <a:off x="142875" y="1504950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142875</xdr:colOff>
      <xdr:row>9</xdr:row>
      <xdr:rowOff>104775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7FD8F4DC-ED44-48AA-9D55-E37CC03E4AB0}"/>
            </a:ext>
          </a:extLst>
        </xdr:cNvPr>
        <xdr:cNvSpPr/>
      </xdr:nvSpPr>
      <xdr:spPr>
        <a:xfrm>
          <a:off x="142875" y="1876425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142875</xdr:colOff>
      <xdr:row>11</xdr:row>
      <xdr:rowOff>95250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99D371F4-8CDE-4CB2-8662-FDAB258DD780}"/>
            </a:ext>
          </a:extLst>
        </xdr:cNvPr>
        <xdr:cNvSpPr/>
      </xdr:nvSpPr>
      <xdr:spPr>
        <a:xfrm>
          <a:off x="142875" y="2247900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142875</xdr:colOff>
      <xdr:row>13</xdr:row>
      <xdr:rowOff>85725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98E079E3-21A7-4C1B-9738-4BAC4A3C7DE6}"/>
            </a:ext>
          </a:extLst>
        </xdr:cNvPr>
        <xdr:cNvSpPr/>
      </xdr:nvSpPr>
      <xdr:spPr>
        <a:xfrm>
          <a:off x="142875" y="2619375"/>
          <a:ext cx="2609850" cy="292704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190500</xdr:colOff>
      <xdr:row>0</xdr:row>
      <xdr:rowOff>66675</xdr:rowOff>
    </xdr:from>
    <xdr:to>
      <xdr:col>0</xdr:col>
      <xdr:colOff>619125</xdr:colOff>
      <xdr:row>2</xdr:row>
      <xdr:rowOff>114300</xdr:rowOff>
    </xdr:to>
    <xdr:pic macro="[0]!Go2Inicio">
      <xdr:nvPicPr>
        <xdr:cNvPr id="9" name="Gráfico 8" descr="Hogar">
          <a:extLst>
            <a:ext uri="{FF2B5EF4-FFF2-40B4-BE49-F238E27FC236}">
              <a16:creationId xmlns:a16="http://schemas.microsoft.com/office/drawing/2014/main" id="{A130277E-4E6E-4935-A4A7-109E28E8CF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90500" y="66675"/>
          <a:ext cx="428625" cy="428625"/>
        </a:xfrm>
        <a:prstGeom prst="rect">
          <a:avLst/>
        </a:prstGeom>
      </xdr:spPr>
    </xdr:pic>
    <xdr:clientData/>
  </xdr:twoCellAnchor>
  <xdr:twoCellAnchor>
    <xdr:from>
      <xdr:col>28</xdr:col>
      <xdr:colOff>359935</xdr:colOff>
      <xdr:row>4</xdr:row>
      <xdr:rowOff>152400</xdr:rowOff>
    </xdr:from>
    <xdr:to>
      <xdr:col>29</xdr:col>
      <xdr:colOff>407560</xdr:colOff>
      <xdr:row>6</xdr:row>
      <xdr:rowOff>85725</xdr:rowOff>
    </xdr:to>
    <xdr:sp macro="[0]!HojaSorteosUI.btnSorteo1" textlink="">
      <xdr:nvSpPr>
        <xdr:cNvPr id="8" name="btnSorteo1" descr="btnSorteo1">
          <a:extLst>
            <a:ext uri="{FF2B5EF4-FFF2-40B4-BE49-F238E27FC236}">
              <a16:creationId xmlns:a16="http://schemas.microsoft.com/office/drawing/2014/main" id="{3A30D178-7ABF-44F0-802A-8458D48698CC}"/>
            </a:ext>
          </a:extLst>
        </xdr:cNvPr>
        <xdr:cNvSpPr/>
      </xdr:nvSpPr>
      <xdr:spPr>
        <a:xfrm>
          <a:off x="10199674" y="988943"/>
          <a:ext cx="809625" cy="322608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28</xdr:col>
      <xdr:colOff>359935</xdr:colOff>
      <xdr:row>6</xdr:row>
      <xdr:rowOff>134326</xdr:rowOff>
    </xdr:from>
    <xdr:to>
      <xdr:col>29</xdr:col>
      <xdr:colOff>407560</xdr:colOff>
      <xdr:row>8</xdr:row>
      <xdr:rowOff>67651</xdr:rowOff>
    </xdr:to>
    <xdr:sp macro="[0]!HojaSorteosUI.btnSorteo2" textlink="">
      <xdr:nvSpPr>
        <xdr:cNvPr id="10" name="btnSorteo2" descr="btnSorteo2">
          <a:extLst>
            <a:ext uri="{FF2B5EF4-FFF2-40B4-BE49-F238E27FC236}">
              <a16:creationId xmlns:a16="http://schemas.microsoft.com/office/drawing/2014/main" id="{A8E31EED-C664-4E88-9AA5-8610CA170997}"/>
            </a:ext>
          </a:extLst>
        </xdr:cNvPr>
        <xdr:cNvSpPr/>
      </xdr:nvSpPr>
      <xdr:spPr>
        <a:xfrm>
          <a:off x="10199674" y="1360152"/>
          <a:ext cx="80962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Editar</a:t>
          </a:r>
        </a:p>
      </xdr:txBody>
    </xdr:sp>
    <xdr:clientData/>
  </xdr:twoCellAnchor>
  <xdr:twoCellAnchor>
    <xdr:from>
      <xdr:col>28</xdr:col>
      <xdr:colOff>209550</xdr:colOff>
      <xdr:row>17</xdr:row>
      <xdr:rowOff>0</xdr:rowOff>
    </xdr:from>
    <xdr:to>
      <xdr:col>28</xdr:col>
      <xdr:colOff>473925</xdr:colOff>
      <xdr:row>18</xdr:row>
      <xdr:rowOff>26250</xdr:rowOff>
    </xdr:to>
    <xdr:pic macro="[0]!HojaSorteosUI.btnFirstSorteo">
      <xdr:nvPicPr>
        <xdr:cNvPr id="13" name="ImgFirst" descr="Primero">
          <a:extLst>
            <a:ext uri="{FF2B5EF4-FFF2-40B4-BE49-F238E27FC236}">
              <a16:creationId xmlns:a16="http://schemas.microsoft.com/office/drawing/2014/main" id="{1E252ED4-C9B6-4AAF-B0F0-EF8FE2323F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649450" y="3695700"/>
          <a:ext cx="264375" cy="264375"/>
        </a:xfrm>
        <a:prstGeom prst="rect">
          <a:avLst/>
        </a:prstGeom>
      </xdr:spPr>
    </xdr:pic>
    <xdr:clientData/>
  </xdr:twoCellAnchor>
  <xdr:twoCellAnchor>
    <xdr:from>
      <xdr:col>29</xdr:col>
      <xdr:colOff>426225</xdr:colOff>
      <xdr:row>17</xdr:row>
      <xdr:rowOff>0</xdr:rowOff>
    </xdr:from>
    <xdr:to>
      <xdr:col>29</xdr:col>
      <xdr:colOff>690600</xdr:colOff>
      <xdr:row>18</xdr:row>
      <xdr:rowOff>26250</xdr:rowOff>
    </xdr:to>
    <xdr:pic macro="[0]!HojaSorteosUI.btnLastSorteo">
      <xdr:nvPicPr>
        <xdr:cNvPr id="14" name="ImgLast" descr="Ultimo">
          <a:extLst>
            <a:ext uri="{FF2B5EF4-FFF2-40B4-BE49-F238E27FC236}">
              <a16:creationId xmlns:a16="http://schemas.microsoft.com/office/drawing/2014/main" id="{D6708A1B-576D-4A02-9446-683F0FA298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28125" y="3695700"/>
          <a:ext cx="264375" cy="264375"/>
        </a:xfrm>
        <a:prstGeom prst="rect">
          <a:avLst/>
        </a:prstGeom>
      </xdr:spPr>
    </xdr:pic>
    <xdr:clientData/>
  </xdr:twoCellAnchor>
  <xdr:twoCellAnchor>
    <xdr:from>
      <xdr:col>29</xdr:col>
      <xdr:colOff>100453</xdr:colOff>
      <xdr:row>17</xdr:row>
      <xdr:rowOff>0</xdr:rowOff>
    </xdr:from>
    <xdr:to>
      <xdr:col>29</xdr:col>
      <xdr:colOff>364828</xdr:colOff>
      <xdr:row>18</xdr:row>
      <xdr:rowOff>26250</xdr:rowOff>
    </xdr:to>
    <xdr:pic macro="[0]!HojaSorteosUI.btnNextSorteo">
      <xdr:nvPicPr>
        <xdr:cNvPr id="15" name="ImgNext" descr="Siguiente">
          <a:extLst>
            <a:ext uri="{FF2B5EF4-FFF2-40B4-BE49-F238E27FC236}">
              <a16:creationId xmlns:a16="http://schemas.microsoft.com/office/drawing/2014/main" id="{667CCCBA-5A9E-416D-B1BB-588E66DD57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15901" y="3691759"/>
          <a:ext cx="264375" cy="262732"/>
        </a:xfrm>
        <a:prstGeom prst="rect">
          <a:avLst/>
        </a:prstGeom>
      </xdr:spPr>
    </xdr:pic>
    <xdr:clientData/>
  </xdr:twoCellAnchor>
  <xdr:twoCellAnchor>
    <xdr:from>
      <xdr:col>28</xdr:col>
      <xdr:colOff>535321</xdr:colOff>
      <xdr:row>17</xdr:row>
      <xdr:rowOff>0</xdr:rowOff>
    </xdr:from>
    <xdr:to>
      <xdr:col>29</xdr:col>
      <xdr:colOff>39057</xdr:colOff>
      <xdr:row>18</xdr:row>
      <xdr:rowOff>26250</xdr:rowOff>
    </xdr:to>
    <xdr:pic macro="[0]!HojaSorteosUI.btnPrevSorteo">
      <xdr:nvPicPr>
        <xdr:cNvPr id="16" name="ImgPrev" descr="Anterior">
          <a:extLst>
            <a:ext uri="{FF2B5EF4-FFF2-40B4-BE49-F238E27FC236}">
              <a16:creationId xmlns:a16="http://schemas.microsoft.com/office/drawing/2014/main" id="{75EA241C-FCBA-4BEE-A281-7548064BFD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75221" y="3695700"/>
          <a:ext cx="265736" cy="264375"/>
        </a:xfrm>
        <a:prstGeom prst="rect">
          <a:avLst/>
        </a:prstGeom>
      </xdr:spPr>
    </xdr:pic>
    <xdr:clientData/>
  </xdr:twoCellAnchor>
  <xdr:twoCellAnchor>
    <xdr:from>
      <xdr:col>28</xdr:col>
      <xdr:colOff>359935</xdr:colOff>
      <xdr:row>8</xdr:row>
      <xdr:rowOff>116252</xdr:rowOff>
    </xdr:from>
    <xdr:to>
      <xdr:col>29</xdr:col>
      <xdr:colOff>407560</xdr:colOff>
      <xdr:row>10</xdr:row>
      <xdr:rowOff>49577</xdr:rowOff>
    </xdr:to>
    <xdr:sp macro="[0]!HojaSorteosUI.btnSorteo3" textlink="">
      <xdr:nvSpPr>
        <xdr:cNvPr id="21" name="btnSorteo3" descr="btnSorteo3">
          <a:extLst>
            <a:ext uri="{FF2B5EF4-FFF2-40B4-BE49-F238E27FC236}">
              <a16:creationId xmlns:a16="http://schemas.microsoft.com/office/drawing/2014/main" id="{4E2C77BF-1C96-434D-AE8F-B12AE5F2CF31}"/>
            </a:ext>
          </a:extLst>
        </xdr:cNvPr>
        <xdr:cNvSpPr/>
      </xdr:nvSpPr>
      <xdr:spPr>
        <a:xfrm>
          <a:off x="10199674" y="1723078"/>
          <a:ext cx="80962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Agregar</a:t>
          </a:r>
        </a:p>
      </xdr:txBody>
    </xdr:sp>
    <xdr:clientData/>
  </xdr:twoCellAnchor>
  <xdr:twoCellAnchor>
    <xdr:from>
      <xdr:col>28</xdr:col>
      <xdr:colOff>359935</xdr:colOff>
      <xdr:row>10</xdr:row>
      <xdr:rowOff>98178</xdr:rowOff>
    </xdr:from>
    <xdr:to>
      <xdr:col>29</xdr:col>
      <xdr:colOff>407560</xdr:colOff>
      <xdr:row>11</xdr:row>
      <xdr:rowOff>222003</xdr:rowOff>
    </xdr:to>
    <xdr:sp macro="[0]!HojaSorteosUI.btnSorteo4" textlink="">
      <xdr:nvSpPr>
        <xdr:cNvPr id="22" name="btnSorteo4" descr="btnSorteo4">
          <a:extLst>
            <a:ext uri="{FF2B5EF4-FFF2-40B4-BE49-F238E27FC236}">
              <a16:creationId xmlns:a16="http://schemas.microsoft.com/office/drawing/2014/main" id="{B056B734-047F-4BB6-B20E-968889BAF2D4}"/>
            </a:ext>
          </a:extLst>
        </xdr:cNvPr>
        <xdr:cNvSpPr/>
      </xdr:nvSpPr>
      <xdr:spPr>
        <a:xfrm>
          <a:off x="10199674" y="2086004"/>
          <a:ext cx="80962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Resetear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209550</xdr:colOff>
      <xdr:row>3</xdr:row>
      <xdr:rowOff>95250</xdr:rowOff>
    </xdr:from>
    <xdr:ext cx="2609850" cy="292704"/>
    <xdr:sp macro="[0]!Go2Sorteos" textlink="">
      <xdr:nvSpPr>
        <xdr:cNvPr id="2" name="Rectángulo: esquinas redondeadas 1" descr="Boton Sorteos">
          <a:extLst>
            <a:ext uri="{FF2B5EF4-FFF2-40B4-BE49-F238E27FC236}">
              <a16:creationId xmlns:a16="http://schemas.microsoft.com/office/drawing/2014/main" id="{7D6F5579-002C-42D2-ADB2-DD217868CD12}"/>
            </a:ext>
          </a:extLst>
        </xdr:cNvPr>
        <xdr:cNvSpPr/>
      </xdr:nvSpPr>
      <xdr:spPr>
        <a:xfrm>
          <a:off x="209550" y="723900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209550</xdr:colOff>
      <xdr:row>5</xdr:row>
      <xdr:rowOff>85725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179B19B-22D9-4105-9921-D09670E137EE}"/>
            </a:ext>
          </a:extLst>
        </xdr:cNvPr>
        <xdr:cNvSpPr/>
      </xdr:nvSpPr>
      <xdr:spPr>
        <a:xfrm>
          <a:off x="209550" y="1095375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209550</xdr:colOff>
      <xdr:row>7</xdr:row>
      <xdr:rowOff>76200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DBE56D38-CF08-4BA8-A859-1839AE52030B}"/>
            </a:ext>
          </a:extLst>
        </xdr:cNvPr>
        <xdr:cNvSpPr/>
      </xdr:nvSpPr>
      <xdr:spPr>
        <a:xfrm>
          <a:off x="209550" y="1466850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209550</xdr:colOff>
      <xdr:row>9</xdr:row>
      <xdr:rowOff>66675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758A246E-D8CA-4C0E-B056-519185FF9C03}"/>
            </a:ext>
          </a:extLst>
        </xdr:cNvPr>
        <xdr:cNvSpPr/>
      </xdr:nvSpPr>
      <xdr:spPr>
        <a:xfrm>
          <a:off x="209550" y="1838325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209550</xdr:colOff>
      <xdr:row>11</xdr:row>
      <xdr:rowOff>57150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14F2E59-535D-459B-8FAA-999E647FA268}"/>
            </a:ext>
          </a:extLst>
        </xdr:cNvPr>
        <xdr:cNvSpPr/>
      </xdr:nvSpPr>
      <xdr:spPr>
        <a:xfrm>
          <a:off x="209550" y="2209800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209550</xdr:colOff>
      <xdr:row>13</xdr:row>
      <xdr:rowOff>47625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97A44520-D11F-4EBA-ACC4-8B3FDE19F233}"/>
            </a:ext>
          </a:extLst>
        </xdr:cNvPr>
        <xdr:cNvSpPr/>
      </xdr:nvSpPr>
      <xdr:spPr>
        <a:xfrm>
          <a:off x="209550" y="2581275"/>
          <a:ext cx="2609850" cy="29270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180975</xdr:colOff>
      <xdr:row>0</xdr:row>
      <xdr:rowOff>114300</xdr:rowOff>
    </xdr:from>
    <xdr:to>
      <xdr:col>0</xdr:col>
      <xdr:colOff>609600</xdr:colOff>
      <xdr:row>2</xdr:row>
      <xdr:rowOff>161925</xdr:rowOff>
    </xdr:to>
    <xdr:pic macro="[0]!Go2Inicio">
      <xdr:nvPicPr>
        <xdr:cNvPr id="8" name="Gráfico 7" descr="Hogar">
          <a:extLst>
            <a:ext uri="{FF2B5EF4-FFF2-40B4-BE49-F238E27FC236}">
              <a16:creationId xmlns:a16="http://schemas.microsoft.com/office/drawing/2014/main" id="{F22F0B24-DFE0-4DE6-A9DF-903952E79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0975" y="114300"/>
          <a:ext cx="428625" cy="428625"/>
        </a:xfrm>
        <a:prstGeom prst="rect">
          <a:avLst/>
        </a:prstGeom>
      </xdr:spPr>
    </xdr:pic>
    <xdr:clientData/>
  </xdr:twoCellAnchor>
  <xdr:twoCellAnchor>
    <xdr:from>
      <xdr:col>30</xdr:col>
      <xdr:colOff>473209</xdr:colOff>
      <xdr:row>5</xdr:row>
      <xdr:rowOff>95250</xdr:rowOff>
    </xdr:from>
    <xdr:to>
      <xdr:col>31</xdr:col>
      <xdr:colOff>501784</xdr:colOff>
      <xdr:row>7</xdr:row>
      <xdr:rowOff>28575</xdr:rowOff>
    </xdr:to>
    <xdr:sp macro="" textlink="">
      <xdr:nvSpPr>
        <xdr:cNvPr id="9" name="Rectángulo: esquinas redondeadas 8" descr="Nuevo">
          <a:extLst>
            <a:ext uri="{FF2B5EF4-FFF2-40B4-BE49-F238E27FC236}">
              <a16:creationId xmlns:a16="http://schemas.microsoft.com/office/drawing/2014/main" id="{C776255C-D8ED-4AFC-A7B7-E9FE15F2B09B}"/>
            </a:ext>
          </a:extLst>
        </xdr:cNvPr>
        <xdr:cNvSpPr/>
      </xdr:nvSpPr>
      <xdr:spPr>
        <a:xfrm>
          <a:off x="12998584" y="1123950"/>
          <a:ext cx="78105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Nuevo</a:t>
          </a:r>
        </a:p>
      </xdr:txBody>
    </xdr:sp>
    <xdr:clientData/>
  </xdr:twoCellAnchor>
  <xdr:twoCellAnchor>
    <xdr:from>
      <xdr:col>30</xdr:col>
      <xdr:colOff>473209</xdr:colOff>
      <xdr:row>7</xdr:row>
      <xdr:rowOff>99848</xdr:rowOff>
    </xdr:from>
    <xdr:to>
      <xdr:col>31</xdr:col>
      <xdr:colOff>501784</xdr:colOff>
      <xdr:row>9</xdr:row>
      <xdr:rowOff>33173</xdr:rowOff>
    </xdr:to>
    <xdr:sp macro="" textlink="">
      <xdr:nvSpPr>
        <xdr:cNvPr id="10" name="Rectángulo: esquinas redondeadas 9" descr="Guardar">
          <a:extLst>
            <a:ext uri="{FF2B5EF4-FFF2-40B4-BE49-F238E27FC236}">
              <a16:creationId xmlns:a16="http://schemas.microsoft.com/office/drawing/2014/main" id="{45D4E301-1B16-4239-B4F6-A8DF7A98A6B7}"/>
            </a:ext>
          </a:extLst>
        </xdr:cNvPr>
        <xdr:cNvSpPr/>
      </xdr:nvSpPr>
      <xdr:spPr>
        <a:xfrm>
          <a:off x="12998584" y="1509548"/>
          <a:ext cx="78105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Guardar</a:t>
          </a:r>
        </a:p>
      </xdr:txBody>
    </xdr:sp>
    <xdr:clientData/>
  </xdr:twoCellAnchor>
  <xdr:twoCellAnchor>
    <xdr:from>
      <xdr:col>30</xdr:col>
      <xdr:colOff>473209</xdr:colOff>
      <xdr:row>9</xdr:row>
      <xdr:rowOff>104446</xdr:rowOff>
    </xdr:from>
    <xdr:to>
      <xdr:col>31</xdr:col>
      <xdr:colOff>501784</xdr:colOff>
      <xdr:row>11</xdr:row>
      <xdr:rowOff>37771</xdr:rowOff>
    </xdr:to>
    <xdr:sp macro="" textlink="">
      <xdr:nvSpPr>
        <xdr:cNvPr id="11" name="BotonRefrescar" descr="Eliminar">
          <a:extLst>
            <a:ext uri="{FF2B5EF4-FFF2-40B4-BE49-F238E27FC236}">
              <a16:creationId xmlns:a16="http://schemas.microsoft.com/office/drawing/2014/main" id="{3426DD3E-686A-4540-94A7-69A122B3E65D}"/>
            </a:ext>
          </a:extLst>
        </xdr:cNvPr>
        <xdr:cNvSpPr/>
      </xdr:nvSpPr>
      <xdr:spPr>
        <a:xfrm>
          <a:off x="12998584" y="1895146"/>
          <a:ext cx="78105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Eliminar</a:t>
          </a:r>
        </a:p>
      </xdr:txBody>
    </xdr:sp>
    <xdr:clientData/>
  </xdr:twoCellAnchor>
  <xdr:twoCellAnchor>
    <xdr:from>
      <xdr:col>30</xdr:col>
      <xdr:colOff>473209</xdr:colOff>
      <xdr:row>11</xdr:row>
      <xdr:rowOff>109044</xdr:rowOff>
    </xdr:from>
    <xdr:to>
      <xdr:col>31</xdr:col>
      <xdr:colOff>501784</xdr:colOff>
      <xdr:row>12</xdr:row>
      <xdr:rowOff>185244</xdr:rowOff>
    </xdr:to>
    <xdr:sp macro="" textlink="">
      <xdr:nvSpPr>
        <xdr:cNvPr id="12" name="BotonApt004" descr="Consultar">
          <a:extLst>
            <a:ext uri="{FF2B5EF4-FFF2-40B4-BE49-F238E27FC236}">
              <a16:creationId xmlns:a16="http://schemas.microsoft.com/office/drawing/2014/main" id="{BDD1BF6F-49C1-4D92-A071-224486AA1A94}"/>
            </a:ext>
          </a:extLst>
        </xdr:cNvPr>
        <xdr:cNvSpPr/>
      </xdr:nvSpPr>
      <xdr:spPr>
        <a:xfrm>
          <a:off x="12998584" y="2280744"/>
          <a:ext cx="78105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Consultar</a:t>
          </a:r>
        </a:p>
      </xdr:txBody>
    </xdr:sp>
    <xdr:clientData/>
  </xdr:twoCellAnchor>
  <xdr:twoCellAnchor>
    <xdr:from>
      <xdr:col>30</xdr:col>
      <xdr:colOff>473209</xdr:colOff>
      <xdr:row>13</xdr:row>
      <xdr:rowOff>66017</xdr:rowOff>
    </xdr:from>
    <xdr:to>
      <xdr:col>31</xdr:col>
      <xdr:colOff>501784</xdr:colOff>
      <xdr:row>14</xdr:row>
      <xdr:rowOff>189842</xdr:rowOff>
    </xdr:to>
    <xdr:sp macro="" textlink="">
      <xdr:nvSpPr>
        <xdr:cNvPr id="13" name="BotonApt004" descr="Editar">
          <a:extLst>
            <a:ext uri="{FF2B5EF4-FFF2-40B4-BE49-F238E27FC236}">
              <a16:creationId xmlns:a16="http://schemas.microsoft.com/office/drawing/2014/main" id="{B1E3FA7F-D784-4B3C-9115-932FCC1B1A1E}"/>
            </a:ext>
          </a:extLst>
        </xdr:cNvPr>
        <xdr:cNvSpPr/>
      </xdr:nvSpPr>
      <xdr:spPr>
        <a:xfrm>
          <a:off x="12998584" y="2713967"/>
          <a:ext cx="781050" cy="361950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Editar</a:t>
          </a:r>
        </a:p>
      </xdr:txBody>
    </xdr:sp>
    <xdr:clientData/>
  </xdr:twoCellAnchor>
  <xdr:twoCellAnchor>
    <xdr:from>
      <xdr:col>30</xdr:col>
      <xdr:colOff>473209</xdr:colOff>
      <xdr:row>15</xdr:row>
      <xdr:rowOff>70616</xdr:rowOff>
    </xdr:from>
    <xdr:to>
      <xdr:col>31</xdr:col>
      <xdr:colOff>501784</xdr:colOff>
      <xdr:row>16</xdr:row>
      <xdr:rowOff>148459</xdr:rowOff>
    </xdr:to>
    <xdr:sp macro="" textlink="">
      <xdr:nvSpPr>
        <xdr:cNvPr id="14" name="BotonApt004" descr="Buscar">
          <a:extLst>
            <a:ext uri="{FF2B5EF4-FFF2-40B4-BE49-F238E27FC236}">
              <a16:creationId xmlns:a16="http://schemas.microsoft.com/office/drawing/2014/main" id="{9A19D1EB-3AF9-4991-A2D3-D9F27AA7D96C}"/>
            </a:ext>
          </a:extLst>
        </xdr:cNvPr>
        <xdr:cNvSpPr/>
      </xdr:nvSpPr>
      <xdr:spPr>
        <a:xfrm>
          <a:off x="12998584" y="3194816"/>
          <a:ext cx="781050" cy="315968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Buscar</a:t>
          </a:r>
        </a:p>
      </xdr:txBody>
    </xdr:sp>
    <xdr:clientData/>
  </xdr:twoCellAnchor>
  <xdr:twoCellAnchor>
    <xdr:from>
      <xdr:col>30</xdr:col>
      <xdr:colOff>242209</xdr:colOff>
      <xdr:row>17</xdr:row>
      <xdr:rowOff>121066</xdr:rowOff>
    </xdr:from>
    <xdr:to>
      <xdr:col>30</xdr:col>
      <xdr:colOff>506584</xdr:colOff>
      <xdr:row>18</xdr:row>
      <xdr:rowOff>147316</xdr:rowOff>
    </xdr:to>
    <xdr:pic>
      <xdr:nvPicPr>
        <xdr:cNvPr id="16" name="Imagen 15" descr="Primero">
          <a:extLst>
            <a:ext uri="{FF2B5EF4-FFF2-40B4-BE49-F238E27FC236}">
              <a16:creationId xmlns:a16="http://schemas.microsoft.com/office/drawing/2014/main" id="{AD6CBD41-0AC9-4CD8-AC10-8B669BF984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67584" y="3721516"/>
          <a:ext cx="264375" cy="264375"/>
        </a:xfrm>
        <a:prstGeom prst="rect">
          <a:avLst/>
        </a:prstGeom>
      </xdr:spPr>
    </xdr:pic>
    <xdr:clientData/>
  </xdr:twoCellAnchor>
  <xdr:twoCellAnchor>
    <xdr:from>
      <xdr:col>31</xdr:col>
      <xdr:colOff>468409</xdr:colOff>
      <xdr:row>17</xdr:row>
      <xdr:rowOff>121066</xdr:rowOff>
    </xdr:from>
    <xdr:to>
      <xdr:col>31</xdr:col>
      <xdr:colOff>732784</xdr:colOff>
      <xdr:row>18</xdr:row>
      <xdr:rowOff>147316</xdr:rowOff>
    </xdr:to>
    <xdr:pic macro="[0]!Imagen17_Haga_clic_en">
      <xdr:nvPicPr>
        <xdr:cNvPr id="18" name="Imagen 17" descr="Ultimo">
          <a:extLst>
            <a:ext uri="{FF2B5EF4-FFF2-40B4-BE49-F238E27FC236}">
              <a16:creationId xmlns:a16="http://schemas.microsoft.com/office/drawing/2014/main" id="{D3419FD3-7BA5-4DE1-BB93-8DCECE41EC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46259" y="3721516"/>
          <a:ext cx="264375" cy="264375"/>
        </a:xfrm>
        <a:prstGeom prst="rect">
          <a:avLst/>
        </a:prstGeom>
      </xdr:spPr>
    </xdr:pic>
    <xdr:clientData/>
  </xdr:twoCellAnchor>
  <xdr:twoCellAnchor>
    <xdr:from>
      <xdr:col>31</xdr:col>
      <xdr:colOff>142637</xdr:colOff>
      <xdr:row>17</xdr:row>
      <xdr:rowOff>121066</xdr:rowOff>
    </xdr:from>
    <xdr:to>
      <xdr:col>31</xdr:col>
      <xdr:colOff>407012</xdr:colOff>
      <xdr:row>18</xdr:row>
      <xdr:rowOff>147316</xdr:rowOff>
    </xdr:to>
    <xdr:pic>
      <xdr:nvPicPr>
        <xdr:cNvPr id="20" name="Imagen 19" descr="Siguiente">
          <a:extLst>
            <a:ext uri="{FF2B5EF4-FFF2-40B4-BE49-F238E27FC236}">
              <a16:creationId xmlns:a16="http://schemas.microsoft.com/office/drawing/2014/main" id="{3557BAF5-6024-41F9-9317-2FE56543BF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0487" y="3721516"/>
          <a:ext cx="264375" cy="264375"/>
        </a:xfrm>
        <a:prstGeom prst="rect">
          <a:avLst/>
        </a:prstGeom>
      </xdr:spPr>
    </xdr:pic>
    <xdr:clientData/>
  </xdr:twoCellAnchor>
  <xdr:twoCellAnchor>
    <xdr:from>
      <xdr:col>30</xdr:col>
      <xdr:colOff>567980</xdr:colOff>
      <xdr:row>17</xdr:row>
      <xdr:rowOff>121066</xdr:rowOff>
    </xdr:from>
    <xdr:to>
      <xdr:col>31</xdr:col>
      <xdr:colOff>81241</xdr:colOff>
      <xdr:row>18</xdr:row>
      <xdr:rowOff>147316</xdr:rowOff>
    </xdr:to>
    <xdr:pic>
      <xdr:nvPicPr>
        <xdr:cNvPr id="22" name="Imagen 21" descr="Anterior">
          <a:extLst>
            <a:ext uri="{FF2B5EF4-FFF2-40B4-BE49-F238E27FC236}">
              <a16:creationId xmlns:a16="http://schemas.microsoft.com/office/drawing/2014/main" id="{5215EC76-779E-40A4-85A0-4816CA1F28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093355" y="3721516"/>
          <a:ext cx="265736" cy="264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19050</xdr:colOff>
      <xdr:row>3</xdr:row>
      <xdr:rowOff>114300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5A11B76-A29D-41F3-AFD6-02A61E0C2A76}"/>
            </a:ext>
          </a:extLst>
        </xdr:cNvPr>
        <xdr:cNvSpPr/>
      </xdr:nvSpPr>
      <xdr:spPr>
        <a:xfrm>
          <a:off x="781050" y="742950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1</xdr:col>
      <xdr:colOff>19050</xdr:colOff>
      <xdr:row>5</xdr:row>
      <xdr:rowOff>104775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92483755-17DB-46D9-A117-C2CFFA3475AE}"/>
            </a:ext>
          </a:extLst>
        </xdr:cNvPr>
        <xdr:cNvSpPr/>
      </xdr:nvSpPr>
      <xdr:spPr>
        <a:xfrm>
          <a:off x="781050" y="1114425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1</xdr:col>
      <xdr:colOff>19050</xdr:colOff>
      <xdr:row>7</xdr:row>
      <xdr:rowOff>95250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8C00ECF1-9AEE-450E-B95A-E547E485799C}"/>
            </a:ext>
          </a:extLst>
        </xdr:cNvPr>
        <xdr:cNvSpPr/>
      </xdr:nvSpPr>
      <xdr:spPr>
        <a:xfrm>
          <a:off x="781050" y="1485900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1</xdr:col>
      <xdr:colOff>19050</xdr:colOff>
      <xdr:row>9</xdr:row>
      <xdr:rowOff>85725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FAD7B9E5-649B-410F-9FA1-CF493C6FB00E}"/>
            </a:ext>
          </a:extLst>
        </xdr:cNvPr>
        <xdr:cNvSpPr/>
      </xdr:nvSpPr>
      <xdr:spPr>
        <a:xfrm>
          <a:off x="781050" y="1857375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1</xdr:col>
      <xdr:colOff>19050</xdr:colOff>
      <xdr:row>11</xdr:row>
      <xdr:rowOff>76200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C34ADDE3-B973-4D20-9198-0BD35E643533}"/>
            </a:ext>
          </a:extLst>
        </xdr:cNvPr>
        <xdr:cNvSpPr/>
      </xdr:nvSpPr>
      <xdr:spPr>
        <a:xfrm>
          <a:off x="781050" y="2228850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1</xdr:col>
      <xdr:colOff>19050</xdr:colOff>
      <xdr:row>13</xdr:row>
      <xdr:rowOff>66675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FC827217-CE92-4F82-96AD-6697ACCDEAF7}"/>
            </a:ext>
          </a:extLst>
        </xdr:cNvPr>
        <xdr:cNvSpPr/>
      </xdr:nvSpPr>
      <xdr:spPr>
        <a:xfrm>
          <a:off x="781050" y="2600325"/>
          <a:ext cx="2609850" cy="292704"/>
        </a:xfrm>
        <a:prstGeom prst="roundRect">
          <a:avLst/>
        </a:prstGeom>
        <a:solidFill>
          <a:schemeClr val="accent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171450</xdr:colOff>
      <xdr:row>0</xdr:row>
      <xdr:rowOff>85725</xdr:rowOff>
    </xdr:from>
    <xdr:to>
      <xdr:col>1</xdr:col>
      <xdr:colOff>361950</xdr:colOff>
      <xdr:row>2</xdr:row>
      <xdr:rowOff>133350</xdr:rowOff>
    </xdr:to>
    <xdr:pic macro="[0]!Go2Inicio">
      <xdr:nvPicPr>
        <xdr:cNvPr id="8" name="Gráfico 7" descr="Hogar">
          <a:extLst>
            <a:ext uri="{FF2B5EF4-FFF2-40B4-BE49-F238E27FC236}">
              <a16:creationId xmlns:a16="http://schemas.microsoft.com/office/drawing/2014/main" id="{275E553B-2F86-4402-BDCD-AFA930EB7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450" y="85725"/>
          <a:ext cx="428625" cy="428625"/>
        </a:xfrm>
        <a:prstGeom prst="rect">
          <a:avLst/>
        </a:prstGeom>
      </xdr:spPr>
    </xdr:pic>
    <xdr:clientData/>
  </xdr:twoCellAnchor>
  <xdr:twoCellAnchor>
    <xdr:from>
      <xdr:col>25</xdr:col>
      <xdr:colOff>19050</xdr:colOff>
      <xdr:row>4</xdr:row>
      <xdr:rowOff>0</xdr:rowOff>
    </xdr:from>
    <xdr:to>
      <xdr:col>26</xdr:col>
      <xdr:colOff>381000</xdr:colOff>
      <xdr:row>5</xdr:row>
      <xdr:rowOff>123825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14C1DAF-7F52-4439-8EA4-64FA0E3181FC}"/>
            </a:ext>
          </a:extLst>
        </xdr:cNvPr>
        <xdr:cNvSpPr/>
      </xdr:nvSpPr>
      <xdr:spPr>
        <a:xfrm>
          <a:off x="19269075" y="819150"/>
          <a:ext cx="1104900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Numeros</a:t>
          </a:r>
        </a:p>
      </xdr:txBody>
    </xdr:sp>
    <xdr:clientData/>
  </xdr:twoCellAnchor>
  <xdr:twoCellAnchor>
    <xdr:from>
      <xdr:col>25</xdr:col>
      <xdr:colOff>4763</xdr:colOff>
      <xdr:row>6</xdr:row>
      <xdr:rowOff>9525</xdr:rowOff>
    </xdr:from>
    <xdr:to>
      <xdr:col>26</xdr:col>
      <xdr:colOff>395288</xdr:colOff>
      <xdr:row>7</xdr:row>
      <xdr:rowOff>133350</xdr:rowOff>
    </xdr:to>
    <xdr:sp macro="" textlink="">
      <xdr:nvSpPr>
        <xdr:cNvPr id="12" name="Rectángulo: esquinas redondeadas 11">
          <a:extLst>
            <a:ext uri="{FF2B5EF4-FFF2-40B4-BE49-F238E27FC236}">
              <a16:creationId xmlns:a16="http://schemas.microsoft.com/office/drawing/2014/main" id="{7AD025FF-E35F-4107-8FA2-602B612D4B9A}"/>
            </a:ext>
          </a:extLst>
        </xdr:cNvPr>
        <xdr:cNvSpPr/>
      </xdr:nvSpPr>
      <xdr:spPr>
        <a:xfrm>
          <a:off x="19254788" y="1209675"/>
          <a:ext cx="11334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Combinaciones</a:t>
          </a:r>
        </a:p>
      </xdr:txBody>
    </xdr:sp>
    <xdr:clientData/>
  </xdr:twoCellAnchor>
  <xdr:twoCellAnchor>
    <xdr:from>
      <xdr:col>25</xdr:col>
      <xdr:colOff>4763</xdr:colOff>
      <xdr:row>8</xdr:row>
      <xdr:rowOff>19050</xdr:rowOff>
    </xdr:from>
    <xdr:to>
      <xdr:col>26</xdr:col>
      <xdr:colOff>395288</xdr:colOff>
      <xdr:row>9</xdr:row>
      <xdr:rowOff>142875</xdr:rowOff>
    </xdr:to>
    <xdr:sp macro="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A8F42F9E-4CE7-4680-B06B-263A3A0C6328}"/>
            </a:ext>
          </a:extLst>
        </xdr:cNvPr>
        <xdr:cNvSpPr/>
      </xdr:nvSpPr>
      <xdr:spPr>
        <a:xfrm>
          <a:off x="19254788" y="1600200"/>
          <a:ext cx="11334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Figuras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190500</xdr:colOff>
      <xdr:row>3</xdr:row>
      <xdr:rowOff>76200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F4A4200D-23D7-4081-A74C-2FCBB7437D6C}"/>
            </a:ext>
          </a:extLst>
        </xdr:cNvPr>
        <xdr:cNvSpPr/>
      </xdr:nvSpPr>
      <xdr:spPr>
        <a:xfrm>
          <a:off x="190500" y="704850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190500</xdr:colOff>
      <xdr:row>5</xdr:row>
      <xdr:rowOff>66675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F0FEE75-1A5B-40FD-B706-061E73CBCE6C}"/>
            </a:ext>
          </a:extLst>
        </xdr:cNvPr>
        <xdr:cNvSpPr/>
      </xdr:nvSpPr>
      <xdr:spPr>
        <a:xfrm>
          <a:off x="190500" y="1076325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190500</xdr:colOff>
      <xdr:row>7</xdr:row>
      <xdr:rowOff>57150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99C0EBF2-8A3F-4EF3-8AF8-D53AB6648088}"/>
            </a:ext>
          </a:extLst>
        </xdr:cNvPr>
        <xdr:cNvSpPr/>
      </xdr:nvSpPr>
      <xdr:spPr>
        <a:xfrm>
          <a:off x="190500" y="1447800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190500</xdr:colOff>
      <xdr:row>9</xdr:row>
      <xdr:rowOff>47625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2C6309CA-33AC-47DD-B7CB-07077BDF778D}"/>
            </a:ext>
          </a:extLst>
        </xdr:cNvPr>
        <xdr:cNvSpPr/>
      </xdr:nvSpPr>
      <xdr:spPr>
        <a:xfrm>
          <a:off x="190500" y="1819275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190500</xdr:colOff>
      <xdr:row>11</xdr:row>
      <xdr:rowOff>38100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4CC0DAE6-297C-4260-BC53-CF0157CAC3E1}"/>
            </a:ext>
          </a:extLst>
        </xdr:cNvPr>
        <xdr:cNvSpPr/>
      </xdr:nvSpPr>
      <xdr:spPr>
        <a:xfrm>
          <a:off x="190500" y="2190750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190500</xdr:colOff>
      <xdr:row>13</xdr:row>
      <xdr:rowOff>28575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DCF6D18A-B6F2-4586-92C3-ED63DF2C5783}"/>
            </a:ext>
          </a:extLst>
        </xdr:cNvPr>
        <xdr:cNvSpPr/>
      </xdr:nvSpPr>
      <xdr:spPr>
        <a:xfrm>
          <a:off x="190500" y="2562225"/>
          <a:ext cx="2609850" cy="292704"/>
        </a:xfrm>
        <a:prstGeom prst="round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171450</xdr:colOff>
      <xdr:row>0</xdr:row>
      <xdr:rowOff>66675</xdr:rowOff>
    </xdr:from>
    <xdr:to>
      <xdr:col>0</xdr:col>
      <xdr:colOff>600075</xdr:colOff>
      <xdr:row>2</xdr:row>
      <xdr:rowOff>114300</xdr:rowOff>
    </xdr:to>
    <xdr:pic macro="[0]!Go2Inicio">
      <xdr:nvPicPr>
        <xdr:cNvPr id="9" name="Gráfico 8" descr="Hogar">
          <a:extLst>
            <a:ext uri="{FF2B5EF4-FFF2-40B4-BE49-F238E27FC236}">
              <a16:creationId xmlns:a16="http://schemas.microsoft.com/office/drawing/2014/main" id="{A9540C43-792D-41AA-85AF-B9E763EAAE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71450" y="66675"/>
          <a:ext cx="428625" cy="428625"/>
        </a:xfrm>
        <a:prstGeom prst="rect">
          <a:avLst/>
        </a:prstGeom>
      </xdr:spPr>
    </xdr:pic>
    <xdr:clientData/>
  </xdr:twoCellAnchor>
  <xdr:twoCellAnchor>
    <xdr:from>
      <xdr:col>17</xdr:col>
      <xdr:colOff>609600</xdr:colOff>
      <xdr:row>3</xdr:row>
      <xdr:rowOff>142875</xdr:rowOff>
    </xdr:from>
    <xdr:to>
      <xdr:col>18</xdr:col>
      <xdr:colOff>638175</xdr:colOff>
      <xdr:row>5</xdr:row>
      <xdr:rowOff>76200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CF4C76AF-4CFA-4C7E-9877-1123F8E7CE1A}"/>
            </a:ext>
          </a:extLst>
        </xdr:cNvPr>
        <xdr:cNvSpPr/>
      </xdr:nvSpPr>
      <xdr:spPr>
        <a:xfrm>
          <a:off x="13563600" y="771525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Agregar</a:t>
          </a:r>
        </a:p>
      </xdr:txBody>
    </xdr:sp>
    <xdr:clientData/>
  </xdr:twoCellAnchor>
  <xdr:twoCellAnchor>
    <xdr:from>
      <xdr:col>17</xdr:col>
      <xdr:colOff>609600</xdr:colOff>
      <xdr:row>5</xdr:row>
      <xdr:rowOff>114300</xdr:rowOff>
    </xdr:from>
    <xdr:to>
      <xdr:col>18</xdr:col>
      <xdr:colOff>638175</xdr:colOff>
      <xdr:row>7</xdr:row>
      <xdr:rowOff>47625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B1283A9-F625-4B43-A937-1D06071A9622}"/>
            </a:ext>
          </a:extLst>
        </xdr:cNvPr>
        <xdr:cNvSpPr/>
      </xdr:nvSpPr>
      <xdr:spPr>
        <a:xfrm>
          <a:off x="13563600" y="1123950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Editar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219075</xdr:colOff>
      <xdr:row>3</xdr:row>
      <xdr:rowOff>95250</xdr:rowOff>
    </xdr:from>
    <xdr:ext cx="2609850" cy="292704"/>
    <xdr:sp macro="[0]!Go2Sorte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944D4E26-A29C-418A-9F20-690CADD15B25}"/>
            </a:ext>
          </a:extLst>
        </xdr:cNvPr>
        <xdr:cNvSpPr/>
      </xdr:nvSpPr>
      <xdr:spPr>
        <a:xfrm>
          <a:off x="219075" y="723900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Sorteos</a:t>
          </a:r>
        </a:p>
      </xdr:txBody>
    </xdr:sp>
    <xdr:clientData/>
  </xdr:oneCellAnchor>
  <xdr:oneCellAnchor>
    <xdr:from>
      <xdr:col>0</xdr:col>
      <xdr:colOff>219075</xdr:colOff>
      <xdr:row>5</xdr:row>
      <xdr:rowOff>85725</xdr:rowOff>
    </xdr:from>
    <xdr:ext cx="2609850" cy="292704"/>
    <xdr:sp macro="[0]!Go2Apuesta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A905EF7F-99D9-44F0-9F61-98B60B67311D}"/>
            </a:ext>
          </a:extLst>
        </xdr:cNvPr>
        <xdr:cNvSpPr/>
      </xdr:nvSpPr>
      <xdr:spPr>
        <a:xfrm>
          <a:off x="219075" y="1095375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Apuestas</a:t>
          </a:r>
        </a:p>
      </xdr:txBody>
    </xdr:sp>
    <xdr:clientData/>
  </xdr:oneCellAnchor>
  <xdr:oneCellAnchor>
    <xdr:from>
      <xdr:col>0</xdr:col>
      <xdr:colOff>219075</xdr:colOff>
      <xdr:row>7</xdr:row>
      <xdr:rowOff>76200</xdr:rowOff>
    </xdr:from>
    <xdr:ext cx="2609850" cy="292704"/>
    <xdr:sp macro="[0]!Go2Estadistic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4DBC6E13-70D1-44A0-8C9D-DDF20CB40084}"/>
            </a:ext>
          </a:extLst>
        </xdr:cNvPr>
        <xdr:cNvSpPr/>
      </xdr:nvSpPr>
      <xdr:spPr>
        <a:xfrm>
          <a:off x="219075" y="1466850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Estadisticas</a:t>
          </a:r>
        </a:p>
      </xdr:txBody>
    </xdr:sp>
    <xdr:clientData/>
  </xdr:oneCellAnchor>
  <xdr:oneCellAnchor>
    <xdr:from>
      <xdr:col>0</xdr:col>
      <xdr:colOff>219075</xdr:colOff>
      <xdr:row>9</xdr:row>
      <xdr:rowOff>66675</xdr:rowOff>
    </xdr:from>
    <xdr:ext cx="2609850" cy="292704"/>
    <xdr:sp macro="[0]!Go2Sugerencia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A7A3694F-2839-45A9-9F20-AEBA52874E74}"/>
            </a:ext>
          </a:extLst>
        </xdr:cNvPr>
        <xdr:cNvSpPr/>
      </xdr:nvSpPr>
      <xdr:spPr>
        <a:xfrm>
          <a:off x="219075" y="1838325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Sugerencias</a:t>
          </a:r>
        </a:p>
      </xdr:txBody>
    </xdr:sp>
    <xdr:clientData/>
  </xdr:oneCellAnchor>
  <xdr:oneCellAnchor>
    <xdr:from>
      <xdr:col>0</xdr:col>
      <xdr:colOff>219075</xdr:colOff>
      <xdr:row>11</xdr:row>
      <xdr:rowOff>57150</xdr:rowOff>
    </xdr:from>
    <xdr:ext cx="2609850" cy="292704"/>
    <xdr:sp macro="[0]!Go2Contabilidad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E84F57F7-CC5E-42D1-9988-40EFEFC6BBBF}"/>
            </a:ext>
          </a:extLst>
        </xdr:cNvPr>
        <xdr:cNvSpPr/>
      </xdr:nvSpPr>
      <xdr:spPr>
        <a:xfrm>
          <a:off x="219075" y="2209800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Contabilidad</a:t>
          </a:r>
        </a:p>
      </xdr:txBody>
    </xdr:sp>
    <xdr:clientData/>
  </xdr:oneCellAnchor>
  <xdr:oneCellAnchor>
    <xdr:from>
      <xdr:col>0</xdr:col>
      <xdr:colOff>219075</xdr:colOff>
      <xdr:row>13</xdr:row>
      <xdr:rowOff>47625</xdr:rowOff>
    </xdr:from>
    <xdr:ext cx="2609850" cy="292704"/>
    <xdr:sp macro="[0]!Salir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1802B140-08A9-480F-8FCC-72D5AF43B465}"/>
            </a:ext>
          </a:extLst>
        </xdr:cNvPr>
        <xdr:cNvSpPr/>
      </xdr:nvSpPr>
      <xdr:spPr>
        <a:xfrm>
          <a:off x="219075" y="2581275"/>
          <a:ext cx="2609850" cy="292704"/>
        </a:xfrm>
        <a:prstGeom prst="roundRect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noAutofit/>
        </a:bodyPr>
        <a:lstStyle/>
        <a:p>
          <a:pPr algn="ctr"/>
          <a:r>
            <a:rPr lang="es-ES" sz="1100"/>
            <a:t>Salir</a:t>
          </a:r>
        </a:p>
      </xdr:txBody>
    </xdr:sp>
    <xdr:clientData/>
  </xdr:oneCellAnchor>
  <xdr:twoCellAnchor editAs="oneCell">
    <xdr:from>
      <xdr:col>0</xdr:col>
      <xdr:colOff>180975</xdr:colOff>
      <xdr:row>0</xdr:row>
      <xdr:rowOff>114300</xdr:rowOff>
    </xdr:from>
    <xdr:to>
      <xdr:col>0</xdr:col>
      <xdr:colOff>609600</xdr:colOff>
      <xdr:row>2</xdr:row>
      <xdr:rowOff>161925</xdr:rowOff>
    </xdr:to>
    <xdr:pic macro="[0]!Go2Inicio">
      <xdr:nvPicPr>
        <xdr:cNvPr id="8" name="Gráfico 7" descr="Hogar">
          <a:extLst>
            <a:ext uri="{FF2B5EF4-FFF2-40B4-BE49-F238E27FC236}">
              <a16:creationId xmlns:a16="http://schemas.microsoft.com/office/drawing/2014/main" id="{6DF44181-DC5B-45FD-BDCB-2797C94EF7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0975" y="114300"/>
          <a:ext cx="428625" cy="428625"/>
        </a:xfrm>
        <a:prstGeom prst="rect">
          <a:avLst/>
        </a:prstGeom>
      </xdr:spPr>
    </xdr:pic>
    <xdr:clientData/>
  </xdr:twoCellAnchor>
  <xdr:twoCellAnchor>
    <xdr:from>
      <xdr:col>14</xdr:col>
      <xdr:colOff>80963</xdr:colOff>
      <xdr:row>3</xdr:row>
      <xdr:rowOff>161925</xdr:rowOff>
    </xdr:from>
    <xdr:to>
      <xdr:col>14</xdr:col>
      <xdr:colOff>871538</xdr:colOff>
      <xdr:row>5</xdr:row>
      <xdr:rowOff>95250</xdr:rowOff>
    </xdr:to>
    <xdr:sp macro="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4627DF95-B8DD-4B17-B516-6CD8AF0597C0}"/>
            </a:ext>
          </a:extLst>
        </xdr:cNvPr>
        <xdr:cNvSpPr/>
      </xdr:nvSpPr>
      <xdr:spPr>
        <a:xfrm>
          <a:off x="10577513" y="790575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Agregar</a:t>
          </a:r>
        </a:p>
      </xdr:txBody>
    </xdr:sp>
    <xdr:clientData/>
  </xdr:twoCellAnchor>
  <xdr:twoCellAnchor>
    <xdr:from>
      <xdr:col>14</xdr:col>
      <xdr:colOff>80963</xdr:colOff>
      <xdr:row>5</xdr:row>
      <xdr:rowOff>147638</xdr:rowOff>
    </xdr:from>
    <xdr:to>
      <xdr:col>14</xdr:col>
      <xdr:colOff>871538</xdr:colOff>
      <xdr:row>7</xdr:row>
      <xdr:rowOff>80963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CBFF0015-78F0-4DBD-864F-3C460ED3E305}"/>
            </a:ext>
          </a:extLst>
        </xdr:cNvPr>
        <xdr:cNvSpPr/>
      </xdr:nvSpPr>
      <xdr:spPr>
        <a:xfrm>
          <a:off x="10577513" y="1157288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Editar</a:t>
          </a:r>
        </a:p>
      </xdr:txBody>
    </xdr:sp>
    <xdr:clientData/>
  </xdr:twoCellAnchor>
  <xdr:twoCellAnchor>
    <xdr:from>
      <xdr:col>14</xdr:col>
      <xdr:colOff>80963</xdr:colOff>
      <xdr:row>7</xdr:row>
      <xdr:rowOff>133350</xdr:rowOff>
    </xdr:from>
    <xdr:to>
      <xdr:col>14</xdr:col>
      <xdr:colOff>871538</xdr:colOff>
      <xdr:row>9</xdr:row>
      <xdr:rowOff>66675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70C10E01-E464-4C4C-A05F-20F4067C654B}"/>
            </a:ext>
          </a:extLst>
        </xdr:cNvPr>
        <xdr:cNvSpPr/>
      </xdr:nvSpPr>
      <xdr:spPr>
        <a:xfrm>
          <a:off x="10577513" y="1524000"/>
          <a:ext cx="790575" cy="314325"/>
        </a:xfrm>
        <a:prstGeom prst="roundRect">
          <a:avLst/>
        </a:prstGeom>
        <a:gradFill flip="none" rotWithShape="1">
          <a:gsLst>
            <a:gs pos="0">
              <a:schemeClr val="accent5">
                <a:lumMod val="67000"/>
              </a:schemeClr>
            </a:gs>
            <a:gs pos="48000">
              <a:schemeClr val="accent5">
                <a:lumMod val="97000"/>
                <a:lumOff val="3000"/>
              </a:schemeClr>
            </a:gs>
            <a:gs pos="100000">
              <a:schemeClr val="accent5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100"/>
            <a:t>Refrescar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95250</xdr:rowOff>
    </xdr:from>
    <xdr:to>
      <xdr:col>0</xdr:col>
      <xdr:colOff>609600</xdr:colOff>
      <xdr:row>2</xdr:row>
      <xdr:rowOff>142875</xdr:rowOff>
    </xdr:to>
    <xdr:pic macro="[0]!Go2Inicio">
      <xdr:nvPicPr>
        <xdr:cNvPr id="3" name="Gráfico 2" descr="Hogar">
          <a:extLst>
            <a:ext uri="{FF2B5EF4-FFF2-40B4-BE49-F238E27FC236}">
              <a16:creationId xmlns:a16="http://schemas.microsoft.com/office/drawing/2014/main" id="{8ED753FE-FE1C-43B2-9878-9146801AA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80975" y="95250"/>
          <a:ext cx="428625" cy="42862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376EF6-2A72-480F-A76B-EFED6A7740B8}" name="Tabla1" displayName="Tabla1" ref="F6:X55" totalsRowShown="0">
  <autoFilter ref="F6:X55" xr:uid="{8A82DF8D-04DA-4FC4-B02A-36C92F2BD923}"/>
  <tableColumns count="19">
    <tableColumn id="1" xr3:uid="{F1C80301-58BA-439A-8F29-4A4429F33FC2}" name="Numero" dataDxfId="9"/>
    <tableColumn id="2" xr3:uid="{8B8E5A31-4383-433F-9F74-63682D2241E9}" name="Apariciones" dataDxfId="8"/>
    <tableColumn id="3" xr3:uid="{E1E28F5B-285F-4345-841B-9E0B5A82D10D}" name="Ausencias" dataDxfId="7"/>
    <tableColumn id="4" xr3:uid="{ABACA67C-E679-4946-8133-3FE1CCA76D10}" name="Prob" dataDxfId="6"/>
    <tableColumn id="5" xr3:uid="{19F10226-5230-48C7-94BE-FE2F3D3A33E1}" name="Prob Tiempo" dataDxfId="5"/>
    <tableColumn id="6" xr3:uid="{8FED8BBD-BEEE-4F54-B770-9FFEE166C4CF}" name="Prob Frecuencias" dataDxfId="4"/>
    <tableColumn id="7" xr3:uid="{2C1A9908-5071-47B2-B16A-2AA4C3EA6175}" name="Tiempo"/>
    <tableColumn id="8" xr3:uid="{46454129-0F28-4762-A3BA-93FF0B0690F2}" name="Desv"/>
    <tableColumn id="9" xr3:uid="{AE182BAC-65B9-4C69-9828-3C73A5D7B3AD}" name="Moda"/>
    <tableColumn id="10" xr3:uid="{3CB0FEAF-D9D2-46DE-B899-84B36E82BA31}" name="Max" dataDxfId="3"/>
    <tableColumn id="11" xr3:uid="{D1D3D820-E733-466F-AB23-69F4CDD7762A}" name="Min" dataDxfId="2"/>
    <tableColumn id="12" xr3:uid="{CA57A19B-19BD-44B9-9936-6E2BF512CD30}" name="Ultima Fecha" dataDxfId="1"/>
    <tableColumn id="13" xr3:uid="{8C4DA56A-6E9A-403E-8EEA-568616A34D5E}" name="Proxima Fecha" dataDxfId="0"/>
    <tableColumn id="14" xr3:uid="{A975EF1C-9D53-4C7D-BE90-4531E90D3584}" name="Terminación"/>
    <tableColumn id="15" xr3:uid="{9118675E-3CD6-46BD-A5CD-C385BD9B1CF8}" name="Decena"/>
    <tableColumn id="16" xr3:uid="{20564D64-D438-412A-ADE0-3945AF39E9C2}" name="Paridad"/>
    <tableColumn id="17" xr3:uid="{79F9B11E-B3AE-4885-A071-98B563C0BE13}" name="Peso"/>
    <tableColumn id="18" xr3:uid="{FB84B256-3532-4584-8F8B-280F12BEE246}" name="Tendencia"/>
    <tableColumn id="19" xr3:uid="{8B81AEB2-2D1E-4F8B-BF2C-DA955D2EDA44}" name="C.Ausencia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PortadaUI"/>
  <dimension ref="A1:N16"/>
  <sheetViews>
    <sheetView showGridLines="0" zoomScale="145" zoomScaleNormal="145" workbookViewId="0"/>
  </sheetViews>
  <sheetFormatPr baseColWidth="10" defaultRowHeight="15" x14ac:dyDescent="0.25"/>
  <cols>
    <col min="5" max="5" width="8.140625" customWidth="1"/>
    <col min="6" max="6" width="13.7109375" bestFit="1" customWidth="1"/>
    <col min="7" max="7" width="15.85546875" bestFit="1" customWidth="1"/>
    <col min="8" max="8" width="18.7109375" customWidth="1"/>
    <col min="9" max="9" width="4.140625" bestFit="1" customWidth="1"/>
    <col min="10" max="10" width="10.28515625" customWidth="1"/>
    <col min="12" max="12" width="6.5703125" customWidth="1"/>
    <col min="13" max="13" width="11.140625" bestFit="1" customWidth="1"/>
    <col min="14" max="14" width="18.85546875" bestFit="1" customWidth="1"/>
  </cols>
  <sheetData>
    <row r="1" spans="1:14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58" t="s">
        <v>1</v>
      </c>
      <c r="N1" s="59" t="str">
        <f>Contexto!B1</f>
        <v>Bonoloto</v>
      </c>
    </row>
    <row r="2" spans="1:14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58" t="s">
        <v>2</v>
      </c>
      <c r="N2" s="59" t="str">
        <f>Contexto!B2</f>
        <v>Ultima Semana</v>
      </c>
    </row>
    <row r="3" spans="1:14" ht="19.5" x14ac:dyDescent="0.3">
      <c r="A3" s="2"/>
      <c r="B3" s="2"/>
      <c r="C3" s="2"/>
      <c r="D3" s="2"/>
      <c r="E3" s="3" t="s">
        <v>0</v>
      </c>
      <c r="F3" s="3"/>
      <c r="G3" s="3"/>
      <c r="L3" s="2"/>
      <c r="M3" s="58" t="s">
        <v>10</v>
      </c>
      <c r="N3" s="59" t="str">
        <f>+Contexto!B3</f>
        <v>90 sorteos</v>
      </c>
    </row>
    <row r="4" spans="1:14" x14ac:dyDescent="0.25">
      <c r="A4" s="1"/>
      <c r="B4" s="1"/>
      <c r="C4" s="1"/>
      <c r="D4" s="1"/>
      <c r="E4" s="4"/>
      <c r="F4" s="4"/>
      <c r="G4" s="4"/>
      <c r="H4" s="4"/>
      <c r="I4" s="4"/>
      <c r="J4" s="4"/>
      <c r="K4" s="4"/>
      <c r="L4" s="2"/>
      <c r="M4" s="58" t="s">
        <v>148</v>
      </c>
      <c r="N4" s="59" t="str">
        <f>+Contexto!B4</f>
        <v>Charly</v>
      </c>
    </row>
    <row r="5" spans="1:14" x14ac:dyDescent="0.25">
      <c r="A5" s="1"/>
      <c r="B5" s="1"/>
      <c r="C5" s="1"/>
      <c r="D5" s="1"/>
      <c r="E5" s="100" t="s">
        <v>144</v>
      </c>
      <c r="F5" s="100"/>
      <c r="G5" s="100"/>
      <c r="H5" s="4" t="s">
        <v>15</v>
      </c>
      <c r="I5" s="4"/>
      <c r="J5" s="4"/>
      <c r="K5" s="4"/>
      <c r="L5" s="4"/>
      <c r="M5" s="4"/>
      <c r="N5" s="4"/>
    </row>
    <row r="6" spans="1:14" ht="15.75" x14ac:dyDescent="0.25">
      <c r="A6" s="1"/>
      <c r="B6" s="1"/>
      <c r="C6" s="1"/>
      <c r="D6" s="1"/>
      <c r="E6" s="4"/>
      <c r="F6" s="4"/>
      <c r="G6" s="4"/>
      <c r="H6" s="99" t="s">
        <v>145</v>
      </c>
      <c r="I6" s="99"/>
      <c r="J6" s="99"/>
      <c r="K6" s="99" t="s">
        <v>143</v>
      </c>
      <c r="L6" s="99"/>
      <c r="M6" s="99"/>
      <c r="N6" s="99"/>
    </row>
    <row r="7" spans="1:14" x14ac:dyDescent="0.25">
      <c r="A7" s="1"/>
      <c r="B7" s="1"/>
      <c r="C7" s="1"/>
      <c r="D7" s="1"/>
      <c r="E7" s="60" t="s">
        <v>150</v>
      </c>
      <c r="F7" s="61"/>
      <c r="G7" s="62"/>
      <c r="H7" s="60" t="s">
        <v>73</v>
      </c>
      <c r="I7" s="61">
        <v>16</v>
      </c>
      <c r="J7" s="69"/>
      <c r="K7" s="60" t="s">
        <v>20</v>
      </c>
      <c r="L7" s="61"/>
      <c r="M7" s="61">
        <v>200</v>
      </c>
      <c r="N7" s="72">
        <v>1500</v>
      </c>
    </row>
    <row r="8" spans="1:14" x14ac:dyDescent="0.25">
      <c r="A8" s="1"/>
      <c r="B8" s="1"/>
      <c r="C8" s="1"/>
      <c r="D8" s="1"/>
      <c r="E8" s="63"/>
      <c r="F8" s="64" t="s">
        <v>21</v>
      </c>
      <c r="G8" s="65"/>
      <c r="H8" s="70" t="s">
        <v>151</v>
      </c>
      <c r="I8" s="4">
        <v>4</v>
      </c>
      <c r="J8" s="71"/>
      <c r="K8" s="70" t="s">
        <v>147</v>
      </c>
      <c r="L8" s="4"/>
      <c r="M8" s="4">
        <v>15</v>
      </c>
      <c r="N8" s="73">
        <v>60</v>
      </c>
    </row>
    <row r="9" spans="1:14" x14ac:dyDescent="0.25">
      <c r="A9" s="1"/>
      <c r="B9" s="1"/>
      <c r="C9" s="1"/>
      <c r="D9" s="1"/>
      <c r="E9" s="63"/>
      <c r="F9" s="4"/>
      <c r="G9" s="65" t="s">
        <v>16</v>
      </c>
      <c r="H9" s="70" t="s">
        <v>146</v>
      </c>
      <c r="I9" s="4">
        <v>225</v>
      </c>
      <c r="J9" s="65"/>
      <c r="K9" s="63"/>
      <c r="L9" s="4"/>
      <c r="M9" s="4"/>
      <c r="N9" s="65"/>
    </row>
    <row r="10" spans="1:14" x14ac:dyDescent="0.25">
      <c r="A10" s="1"/>
      <c r="B10" s="1"/>
      <c r="C10" s="1"/>
      <c r="D10" s="1"/>
      <c r="E10" s="63"/>
      <c r="F10" s="4"/>
      <c r="G10" s="65" t="s">
        <v>17</v>
      </c>
      <c r="H10" s="70" t="s">
        <v>147</v>
      </c>
      <c r="I10" s="4">
        <v>25</v>
      </c>
      <c r="J10" s="65"/>
      <c r="K10" s="63"/>
      <c r="L10" s="4"/>
      <c r="M10" s="4"/>
      <c r="N10" s="65"/>
    </row>
    <row r="11" spans="1:14" x14ac:dyDescent="0.25">
      <c r="A11" s="1"/>
      <c r="B11" s="1"/>
      <c r="C11" s="1"/>
      <c r="D11" s="1"/>
      <c r="E11" s="63"/>
      <c r="F11" s="64" t="s">
        <v>22</v>
      </c>
      <c r="G11" s="65"/>
      <c r="H11" s="63"/>
      <c r="I11" s="4"/>
      <c r="J11" s="65"/>
      <c r="K11" s="63"/>
      <c r="L11" s="4"/>
      <c r="M11" s="4"/>
      <c r="N11" s="65"/>
    </row>
    <row r="12" spans="1:14" x14ac:dyDescent="0.25">
      <c r="A12" s="1"/>
      <c r="B12" s="1"/>
      <c r="C12" s="1"/>
      <c r="D12" s="1"/>
      <c r="E12" s="63"/>
      <c r="F12" s="4"/>
      <c r="G12" s="65" t="s">
        <v>18</v>
      </c>
      <c r="H12" s="63"/>
      <c r="I12" s="4"/>
      <c r="J12" s="65"/>
      <c r="K12" s="63"/>
      <c r="L12" s="4"/>
      <c r="M12" s="4"/>
      <c r="N12" s="65"/>
    </row>
    <row r="13" spans="1:14" x14ac:dyDescent="0.25">
      <c r="A13" s="1"/>
      <c r="B13" s="1"/>
      <c r="C13" s="1"/>
      <c r="D13" s="1"/>
      <c r="E13" s="63"/>
      <c r="F13" s="64" t="s">
        <v>23</v>
      </c>
      <c r="G13" s="65"/>
      <c r="H13" s="63"/>
      <c r="I13" s="4"/>
      <c r="J13" s="65"/>
      <c r="K13" s="63"/>
      <c r="L13" s="4"/>
      <c r="M13" s="4"/>
      <c r="N13" s="65"/>
    </row>
    <row r="14" spans="1:14" x14ac:dyDescent="0.25">
      <c r="A14" s="1"/>
      <c r="B14" s="1"/>
      <c r="C14" s="1"/>
      <c r="D14" s="1"/>
      <c r="E14" s="63"/>
      <c r="F14" s="4"/>
      <c r="G14" s="65" t="s">
        <v>19</v>
      </c>
      <c r="H14" s="63"/>
      <c r="I14" s="4"/>
      <c r="J14" s="65"/>
      <c r="K14" s="63"/>
      <c r="L14" s="4"/>
      <c r="M14" s="4"/>
      <c r="N14" s="65"/>
    </row>
    <row r="15" spans="1:14" x14ac:dyDescent="0.25">
      <c r="A15" s="1"/>
      <c r="B15" s="1"/>
      <c r="C15" s="1"/>
      <c r="D15" s="1"/>
      <c r="E15" s="63"/>
      <c r="F15" s="64" t="s">
        <v>24</v>
      </c>
      <c r="G15" s="65"/>
      <c r="H15" s="63"/>
      <c r="I15" s="4"/>
      <c r="J15" s="65"/>
      <c r="K15" s="63"/>
      <c r="L15" s="4"/>
      <c r="M15" s="4"/>
      <c r="N15" s="65"/>
    </row>
    <row r="16" spans="1:14" x14ac:dyDescent="0.25">
      <c r="A16" s="1"/>
      <c r="B16" s="1"/>
      <c r="C16" s="1"/>
      <c r="D16" s="1"/>
      <c r="E16" s="66"/>
      <c r="F16" s="67"/>
      <c r="G16" s="68" t="s">
        <v>15</v>
      </c>
      <c r="H16" s="66"/>
      <c r="I16" s="67"/>
      <c r="J16" s="68"/>
      <c r="K16" s="66"/>
      <c r="L16" s="67"/>
      <c r="M16" s="67"/>
      <c r="N16" s="68"/>
    </row>
  </sheetData>
  <mergeCells count="3">
    <mergeCell ref="K6:N6"/>
    <mergeCell ref="E5:G5"/>
    <mergeCell ref="H6:J6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SorteosUI"/>
  <dimension ref="A1:AD29"/>
  <sheetViews>
    <sheetView showGridLines="0" tabSelected="1" zoomScale="115" zoomScaleNormal="115" workbookViewId="0">
      <selection activeCell="E1" sqref="E1:R1048576"/>
    </sheetView>
  </sheetViews>
  <sheetFormatPr baseColWidth="10" defaultRowHeight="15" x14ac:dyDescent="0.25"/>
  <cols>
    <col min="1" max="1" width="11.42578125" customWidth="1"/>
    <col min="5" max="5" width="3.42578125" hidden="1" customWidth="1"/>
    <col min="6" max="6" width="5.5703125" hidden="1" customWidth="1"/>
    <col min="7" max="8" width="6.7109375" hidden="1" customWidth="1"/>
    <col min="9" max="14" width="6.140625" hidden="1" customWidth="1"/>
    <col min="15" max="15" width="3.28515625" hidden="1" customWidth="1"/>
    <col min="16" max="16" width="14.28515625" hidden="1" customWidth="1"/>
    <col min="17" max="17" width="14.5703125" hidden="1" customWidth="1"/>
    <col min="18" max="18" width="4.28515625" hidden="1" customWidth="1"/>
    <col min="19" max="19" width="1.140625" customWidth="1"/>
    <col min="20" max="20" width="7.28515625" customWidth="1"/>
    <col min="21" max="21" width="5.42578125" customWidth="1"/>
    <col min="22" max="22" width="14.7109375" customWidth="1"/>
    <col min="23" max="23" width="3.42578125" customWidth="1"/>
    <col min="24" max="24" width="4.85546875" customWidth="1"/>
    <col min="25" max="25" width="23.5703125" customWidth="1"/>
    <col min="26" max="26" width="9.42578125" customWidth="1"/>
    <col min="27" max="27" width="1.42578125" customWidth="1"/>
    <col min="28" max="28" width="5.28515625" customWidth="1"/>
    <col min="30" max="30" width="14.28515625" bestFit="1" customWidth="1"/>
  </cols>
  <sheetData>
    <row r="1" spans="1:30" x14ac:dyDescent="0.25">
      <c r="A1" s="94" t="s">
        <v>153</v>
      </c>
      <c r="B1" s="28"/>
      <c r="C1" s="28"/>
      <c r="D1" s="28"/>
      <c r="E1" s="28"/>
      <c r="F1" s="28"/>
      <c r="G1" s="28"/>
      <c r="H1" s="28"/>
      <c r="I1" s="28"/>
      <c r="J1" s="28"/>
      <c r="K1" s="28"/>
      <c r="L1" s="28"/>
      <c r="M1" s="28"/>
      <c r="N1" s="28"/>
      <c r="O1" s="28"/>
      <c r="P1" s="28"/>
      <c r="Q1" s="28"/>
      <c r="R1" s="28"/>
      <c r="S1" s="28"/>
      <c r="T1" s="28"/>
      <c r="U1" s="28"/>
      <c r="V1" s="28"/>
      <c r="W1" s="28"/>
      <c r="X1" s="28"/>
      <c r="Y1" s="28"/>
      <c r="Z1" s="28"/>
      <c r="AA1" s="28"/>
      <c r="AB1" s="28"/>
      <c r="AC1" s="29" t="s">
        <v>1</v>
      </c>
      <c r="AD1" s="28" t="str">
        <f>Contexto!B1</f>
        <v>Bonoloto</v>
      </c>
    </row>
    <row r="2" spans="1:30" x14ac:dyDescent="0.25">
      <c r="A2" s="28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9" t="s">
        <v>2</v>
      </c>
      <c r="AD2" s="28" t="str">
        <f>Contexto!B2</f>
        <v>Ultima Semana</v>
      </c>
    </row>
    <row r="3" spans="1:30" ht="20.25" thickBot="1" x14ac:dyDescent="0.35">
      <c r="A3" s="28"/>
      <c r="B3" s="28"/>
      <c r="C3" s="28"/>
      <c r="D3" s="28"/>
      <c r="E3" s="3" t="s">
        <v>121</v>
      </c>
      <c r="F3" s="3"/>
      <c r="G3" s="3"/>
      <c r="S3" s="28"/>
      <c r="T3" s="3" t="s">
        <v>141</v>
      </c>
      <c r="U3" s="3"/>
      <c r="V3" s="3"/>
      <c r="AA3" s="28"/>
      <c r="AB3" s="28"/>
      <c r="AC3" s="29" t="s">
        <v>10</v>
      </c>
      <c r="AD3" s="28" t="str">
        <f>+Contexto!B3</f>
        <v>90 sorteos</v>
      </c>
    </row>
    <row r="4" spans="1:30" ht="15.75" thickTop="1" x14ac:dyDescent="0.25">
      <c r="A4" s="28"/>
      <c r="B4" s="28"/>
      <c r="C4" s="28"/>
      <c r="D4" s="28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5"/>
      <c r="R4" s="85"/>
      <c r="S4" s="28"/>
      <c r="T4" s="86" t="s">
        <v>104</v>
      </c>
      <c r="U4" s="85"/>
      <c r="V4" s="85"/>
      <c r="W4" s="85"/>
      <c r="X4" s="85"/>
      <c r="Y4" s="85"/>
      <c r="Z4" s="85"/>
      <c r="AA4" s="28"/>
      <c r="AB4" s="28"/>
      <c r="AC4" s="29" t="s">
        <v>148</v>
      </c>
      <c r="AD4" s="28" t="str">
        <f>+Contexto!B4</f>
        <v>Charly</v>
      </c>
    </row>
    <row r="5" spans="1:30" ht="15.75" x14ac:dyDescent="0.25">
      <c r="A5" s="28"/>
      <c r="B5" s="28"/>
      <c r="C5" s="28"/>
      <c r="D5" s="28"/>
      <c r="E5" s="85"/>
      <c r="F5" s="85"/>
      <c r="G5" s="85"/>
      <c r="H5" s="85"/>
      <c r="I5" s="85"/>
      <c r="J5" s="85"/>
      <c r="K5" s="85"/>
      <c r="L5" s="85"/>
      <c r="M5" s="85"/>
      <c r="N5" s="85"/>
      <c r="O5" s="85"/>
      <c r="P5" s="104" t="s">
        <v>27</v>
      </c>
      <c r="Q5" s="104"/>
      <c r="R5" s="85"/>
      <c r="S5" s="28"/>
      <c r="T5" s="101" t="s">
        <v>1</v>
      </c>
      <c r="U5" s="101"/>
      <c r="V5" s="101"/>
      <c r="W5" s="103" t="s">
        <v>3</v>
      </c>
      <c r="X5" s="103"/>
      <c r="Y5" s="103"/>
      <c r="Z5" s="85"/>
      <c r="AA5" s="28"/>
      <c r="AB5" s="4"/>
      <c r="AC5" s="4"/>
      <c r="AD5" s="4"/>
    </row>
    <row r="6" spans="1:30" x14ac:dyDescent="0.25">
      <c r="A6" s="28"/>
      <c r="B6" s="28"/>
      <c r="C6" s="28"/>
      <c r="D6" s="28"/>
      <c r="E6" s="101" t="s">
        <v>97</v>
      </c>
      <c r="F6" s="101"/>
      <c r="G6" s="101"/>
      <c r="H6" s="101"/>
      <c r="I6" s="105">
        <v>4564</v>
      </c>
      <c r="J6" s="105"/>
      <c r="K6" s="105"/>
      <c r="L6" s="105"/>
      <c r="M6" s="85"/>
      <c r="N6" s="85"/>
      <c r="O6" s="85"/>
      <c r="P6" s="93" t="s">
        <v>122</v>
      </c>
      <c r="Q6" s="93" t="s">
        <v>123</v>
      </c>
      <c r="R6" s="85"/>
      <c r="S6" s="28"/>
      <c r="T6" s="101" t="s">
        <v>113</v>
      </c>
      <c r="U6" s="101"/>
      <c r="V6" s="101"/>
      <c r="W6" s="103"/>
      <c r="X6" s="103"/>
      <c r="Y6" s="103"/>
      <c r="Z6" s="85"/>
      <c r="AA6" s="28"/>
      <c r="AB6" s="4"/>
      <c r="AC6" s="4"/>
      <c r="AD6" s="4"/>
    </row>
    <row r="7" spans="1:30" x14ac:dyDescent="0.25">
      <c r="A7" s="28"/>
      <c r="B7" s="28"/>
      <c r="C7" s="28"/>
      <c r="D7" s="28"/>
      <c r="E7" s="101" t="s">
        <v>1</v>
      </c>
      <c r="F7" s="101"/>
      <c r="G7" s="101"/>
      <c r="H7" s="101"/>
      <c r="I7" s="103" t="s">
        <v>9</v>
      </c>
      <c r="J7" s="103"/>
      <c r="K7" s="103"/>
      <c r="L7" s="103"/>
      <c r="M7" s="85"/>
      <c r="N7" s="85"/>
      <c r="O7" s="85"/>
      <c r="P7" s="74" t="s">
        <v>127</v>
      </c>
      <c r="Q7" s="74"/>
      <c r="R7" s="85"/>
      <c r="S7" s="28"/>
      <c r="T7" s="101" t="s">
        <v>2</v>
      </c>
      <c r="U7" s="101"/>
      <c r="V7" s="101"/>
      <c r="W7" s="103" t="s">
        <v>84</v>
      </c>
      <c r="X7" s="103"/>
      <c r="Y7" s="103"/>
      <c r="Z7" s="85"/>
      <c r="AA7" s="28"/>
      <c r="AB7" s="4"/>
      <c r="AC7" s="4"/>
      <c r="AD7" s="4"/>
    </row>
    <row r="8" spans="1:30" x14ac:dyDescent="0.25">
      <c r="A8" s="28"/>
      <c r="B8" s="28"/>
      <c r="C8" s="28"/>
      <c r="D8" s="28"/>
      <c r="E8" s="101" t="s">
        <v>77</v>
      </c>
      <c r="F8" s="101"/>
      <c r="G8" s="101"/>
      <c r="H8" s="101"/>
      <c r="I8" s="102" t="s">
        <v>140</v>
      </c>
      <c r="J8" s="102"/>
      <c r="K8" s="102"/>
      <c r="L8" s="102"/>
      <c r="M8" s="85"/>
      <c r="N8" s="85"/>
      <c r="O8" s="85"/>
      <c r="P8" s="74" t="s">
        <v>128</v>
      </c>
      <c r="Q8" s="74"/>
      <c r="R8" s="85"/>
      <c r="S8" s="28"/>
      <c r="T8" s="101" t="s">
        <v>117</v>
      </c>
      <c r="U8" s="101"/>
      <c r="V8" s="101"/>
      <c r="W8" s="102">
        <v>43800</v>
      </c>
      <c r="X8" s="103"/>
      <c r="Y8" s="103"/>
      <c r="Z8" s="85"/>
      <c r="AA8" s="28"/>
      <c r="AB8" s="4"/>
      <c r="AC8" s="4"/>
      <c r="AD8" s="4"/>
    </row>
    <row r="9" spans="1:30" x14ac:dyDescent="0.25">
      <c r="A9" s="28"/>
      <c r="B9" s="28"/>
      <c r="C9" s="28"/>
      <c r="D9" s="28"/>
      <c r="E9" s="101" t="s">
        <v>5</v>
      </c>
      <c r="F9" s="101"/>
      <c r="G9" s="101"/>
      <c r="H9" s="101"/>
      <c r="I9" s="102">
        <v>43692</v>
      </c>
      <c r="J9" s="102"/>
      <c r="K9" s="102"/>
      <c r="L9" s="102"/>
      <c r="M9" s="85"/>
      <c r="N9" s="85"/>
      <c r="O9" s="85"/>
      <c r="P9" s="74" t="s">
        <v>129</v>
      </c>
      <c r="Q9" s="74"/>
      <c r="R9" s="85"/>
      <c r="S9" s="28"/>
      <c r="T9" s="101" t="s">
        <v>118</v>
      </c>
      <c r="U9" s="101"/>
      <c r="V9" s="101"/>
      <c r="W9" s="102">
        <v>43830</v>
      </c>
      <c r="X9" s="103"/>
      <c r="Y9" s="103"/>
      <c r="Z9" s="85"/>
      <c r="AA9" s="28"/>
      <c r="AB9" s="4"/>
      <c r="AC9" s="4"/>
      <c r="AD9" s="4"/>
    </row>
    <row r="10" spans="1:30" x14ac:dyDescent="0.25">
      <c r="A10" s="28"/>
      <c r="B10" s="28"/>
      <c r="C10" s="28"/>
      <c r="D10" s="28"/>
      <c r="E10" s="101" t="s">
        <v>124</v>
      </c>
      <c r="F10" s="101"/>
      <c r="G10" s="101"/>
      <c r="H10" s="101"/>
      <c r="I10" s="106" t="s">
        <v>13</v>
      </c>
      <c r="J10" s="106"/>
      <c r="K10" s="106"/>
      <c r="L10" s="106"/>
      <c r="M10" s="85"/>
      <c r="N10" s="85"/>
      <c r="O10" s="85"/>
      <c r="P10" s="74" t="s">
        <v>130</v>
      </c>
      <c r="Q10" s="74"/>
      <c r="R10" s="85"/>
      <c r="S10" s="28"/>
      <c r="T10" s="86" t="s">
        <v>105</v>
      </c>
      <c r="U10" s="85"/>
      <c r="V10" s="85"/>
      <c r="W10" s="85"/>
      <c r="X10" s="85"/>
      <c r="Y10" s="85"/>
      <c r="Z10" s="85"/>
      <c r="AA10" s="28"/>
      <c r="AB10" s="4"/>
      <c r="AC10" s="4"/>
      <c r="AD10" s="4"/>
    </row>
    <row r="11" spans="1:30" x14ac:dyDescent="0.25">
      <c r="A11" s="28"/>
      <c r="B11" s="28"/>
      <c r="C11" s="28"/>
      <c r="D11" s="28"/>
      <c r="E11" s="101" t="s">
        <v>61</v>
      </c>
      <c r="F11" s="101"/>
      <c r="G11" s="101"/>
      <c r="H11" s="101"/>
      <c r="I11" s="102"/>
      <c r="J11" s="102"/>
      <c r="K11" s="102"/>
      <c r="L11" s="102"/>
      <c r="M11" s="85"/>
      <c r="N11" s="85"/>
      <c r="O11" s="85"/>
      <c r="P11" s="74" t="s">
        <v>131</v>
      </c>
      <c r="Q11" s="74"/>
      <c r="R11" s="85"/>
      <c r="S11" s="28"/>
      <c r="T11" s="87" t="s">
        <v>97</v>
      </c>
      <c r="U11" s="88" t="s">
        <v>1</v>
      </c>
      <c r="V11" s="87" t="s">
        <v>5</v>
      </c>
      <c r="W11" s="87" t="s">
        <v>7</v>
      </c>
      <c r="X11" s="87" t="s">
        <v>116</v>
      </c>
      <c r="Y11" s="87" t="s">
        <v>142</v>
      </c>
      <c r="Z11" s="87" t="s">
        <v>76</v>
      </c>
      <c r="AA11" s="28"/>
      <c r="AB11" s="4"/>
      <c r="AC11" s="4"/>
      <c r="AD11" s="4"/>
    </row>
    <row r="12" spans="1:30" ht="18.75" x14ac:dyDescent="0.3">
      <c r="A12" s="28"/>
      <c r="B12" s="28"/>
      <c r="C12" s="28"/>
      <c r="D12" s="28"/>
      <c r="E12" s="101" t="s">
        <v>125</v>
      </c>
      <c r="F12" s="101"/>
      <c r="G12" s="101"/>
      <c r="H12" s="101"/>
      <c r="I12" s="103"/>
      <c r="J12" s="103"/>
      <c r="K12" s="103"/>
      <c r="L12" s="103"/>
      <c r="M12" s="85"/>
      <c r="N12" s="85"/>
      <c r="O12" s="85"/>
      <c r="P12" s="74" t="s">
        <v>132</v>
      </c>
      <c r="Q12" s="74"/>
      <c r="R12" s="85"/>
      <c r="S12" s="28"/>
      <c r="T12" s="95"/>
      <c r="U12" s="95"/>
      <c r="V12" s="96"/>
      <c r="W12" s="95"/>
      <c r="X12" s="95"/>
      <c r="Y12" s="95"/>
      <c r="Z12" s="97"/>
      <c r="AA12" s="28"/>
      <c r="AB12" s="4"/>
      <c r="AC12" s="4"/>
      <c r="AD12" s="4"/>
    </row>
    <row r="13" spans="1:30" ht="18.75" x14ac:dyDescent="0.3">
      <c r="A13" s="28"/>
      <c r="B13" s="28"/>
      <c r="C13" s="28"/>
      <c r="D13" s="28"/>
      <c r="E13" s="86"/>
      <c r="F13" s="85"/>
      <c r="G13" s="85"/>
      <c r="H13" s="85"/>
      <c r="I13" s="85"/>
      <c r="J13" s="85"/>
      <c r="K13" s="85"/>
      <c r="L13" s="85"/>
      <c r="M13" s="85"/>
      <c r="N13" s="85"/>
      <c r="O13" s="85"/>
      <c r="P13" s="74" t="s">
        <v>133</v>
      </c>
      <c r="Q13" s="74"/>
      <c r="R13" s="85"/>
      <c r="S13" s="28"/>
      <c r="T13" s="95"/>
      <c r="U13" s="95"/>
      <c r="V13" s="95"/>
      <c r="W13" s="95"/>
      <c r="X13" s="95"/>
      <c r="Y13" s="95"/>
      <c r="Z13" s="95"/>
      <c r="AA13" s="28"/>
      <c r="AB13" s="4"/>
      <c r="AC13" s="4"/>
      <c r="AD13" s="4"/>
    </row>
    <row r="14" spans="1:30" ht="21" x14ac:dyDescent="0.35">
      <c r="A14" s="28"/>
      <c r="B14" s="28"/>
      <c r="C14" s="28"/>
      <c r="D14" s="28"/>
      <c r="E14" s="101" t="s">
        <v>126</v>
      </c>
      <c r="F14" s="101"/>
      <c r="G14" s="101"/>
      <c r="H14" s="101"/>
      <c r="I14" s="91">
        <v>6</v>
      </c>
      <c r="J14" s="91">
        <v>41</v>
      </c>
      <c r="K14" s="91">
        <v>5</v>
      </c>
      <c r="L14" s="91">
        <v>7</v>
      </c>
      <c r="M14" s="91">
        <v>12</v>
      </c>
      <c r="N14" s="91">
        <v>22</v>
      </c>
      <c r="O14" s="85"/>
      <c r="P14" s="74" t="s">
        <v>134</v>
      </c>
      <c r="Q14" s="74"/>
      <c r="R14" s="85"/>
      <c r="S14" s="28"/>
      <c r="T14" s="95"/>
      <c r="U14" s="95"/>
      <c r="V14" s="95"/>
      <c r="W14" s="95"/>
      <c r="X14" s="95"/>
      <c r="Y14" s="95"/>
      <c r="Z14" s="95"/>
      <c r="AA14" s="28"/>
      <c r="AB14" s="4"/>
      <c r="AC14" s="4"/>
      <c r="AD14" s="4"/>
    </row>
    <row r="15" spans="1:30" ht="21" x14ac:dyDescent="0.35">
      <c r="A15" s="28"/>
      <c r="B15" s="28"/>
      <c r="C15" s="28"/>
      <c r="D15" s="28"/>
      <c r="E15" s="101" t="s">
        <v>74</v>
      </c>
      <c r="F15" s="101"/>
      <c r="G15" s="101"/>
      <c r="H15" s="101"/>
      <c r="I15" s="91">
        <v>19</v>
      </c>
      <c r="J15" s="91"/>
      <c r="K15" s="91"/>
      <c r="L15" s="91"/>
      <c r="M15" s="91"/>
      <c r="N15" s="91"/>
      <c r="O15" s="85"/>
      <c r="P15" s="74" t="s">
        <v>135</v>
      </c>
      <c r="Q15" s="74"/>
      <c r="R15" s="85"/>
      <c r="S15" s="28"/>
      <c r="T15" s="95"/>
      <c r="U15" s="95"/>
      <c r="V15" s="95"/>
      <c r="W15" s="95"/>
      <c r="X15" s="95"/>
      <c r="Y15" s="95"/>
      <c r="Z15" s="95"/>
      <c r="AA15" s="28"/>
      <c r="AB15" s="4"/>
      <c r="AC15" s="4"/>
      <c r="AD15" s="4"/>
    </row>
    <row r="16" spans="1:30" ht="21" x14ac:dyDescent="0.35">
      <c r="A16" s="28"/>
      <c r="B16" s="28"/>
      <c r="C16" s="28"/>
      <c r="D16" s="28"/>
      <c r="E16" s="101" t="s">
        <v>76</v>
      </c>
      <c r="F16" s="101"/>
      <c r="G16" s="101"/>
      <c r="H16" s="101"/>
      <c r="I16" s="91">
        <v>3</v>
      </c>
      <c r="J16" s="92"/>
      <c r="K16" s="92"/>
      <c r="L16" s="92"/>
      <c r="M16" s="92"/>
      <c r="N16" s="92"/>
      <c r="O16" s="85"/>
      <c r="P16" s="74" t="s">
        <v>136</v>
      </c>
      <c r="Q16" s="74"/>
      <c r="R16" s="85"/>
      <c r="S16" s="28"/>
      <c r="T16" s="95"/>
      <c r="U16" s="95"/>
      <c r="V16" s="95"/>
      <c r="W16" s="95"/>
      <c r="X16" s="95"/>
      <c r="Y16" s="95"/>
      <c r="Z16" s="95"/>
      <c r="AA16" s="28"/>
      <c r="AB16" s="4"/>
      <c r="AC16" s="4"/>
      <c r="AD16" s="4"/>
    </row>
    <row r="17" spans="1:30" ht="18.75" x14ac:dyDescent="0.3">
      <c r="A17" s="28"/>
      <c r="B17" s="28"/>
      <c r="C17" s="28"/>
      <c r="D17" s="28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74" t="s">
        <v>137</v>
      </c>
      <c r="Q17" s="74"/>
      <c r="R17" s="85"/>
      <c r="S17" s="28"/>
      <c r="T17" s="95"/>
      <c r="U17" s="95"/>
      <c r="V17" s="95"/>
      <c r="W17" s="95"/>
      <c r="X17" s="95"/>
      <c r="Y17" s="95"/>
      <c r="Z17" s="95"/>
      <c r="AA17" s="28"/>
      <c r="AB17" s="4"/>
      <c r="AC17" s="4"/>
      <c r="AD17" s="4"/>
    </row>
    <row r="18" spans="1:30" ht="18.75" x14ac:dyDescent="0.3">
      <c r="A18" s="28"/>
      <c r="B18" s="28"/>
      <c r="C18" s="28"/>
      <c r="D18" s="28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74" t="s">
        <v>138</v>
      </c>
      <c r="Q18" s="74"/>
      <c r="R18" s="85"/>
      <c r="S18" s="28"/>
      <c r="T18" s="95"/>
      <c r="U18" s="95"/>
      <c r="V18" s="95"/>
      <c r="W18" s="95"/>
      <c r="X18" s="95"/>
      <c r="Y18" s="95"/>
      <c r="Z18" s="95"/>
      <c r="AA18" s="28"/>
      <c r="AB18" s="4"/>
      <c r="AC18" s="4"/>
      <c r="AD18" s="4"/>
    </row>
    <row r="19" spans="1:30" ht="18.75" x14ac:dyDescent="0.3">
      <c r="A19" s="28"/>
      <c r="B19" s="28"/>
      <c r="C19" s="28"/>
      <c r="D19" s="28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74" t="s">
        <v>139</v>
      </c>
      <c r="Q19" s="74"/>
      <c r="R19" s="85"/>
      <c r="S19" s="28"/>
      <c r="T19" s="95"/>
      <c r="U19" s="95"/>
      <c r="V19" s="95"/>
      <c r="W19" s="95"/>
      <c r="X19" s="95"/>
      <c r="Y19" s="95"/>
      <c r="Z19" s="95"/>
      <c r="AA19" s="28"/>
      <c r="AB19" s="4"/>
      <c r="AC19" s="4"/>
      <c r="AD19" s="4"/>
    </row>
    <row r="20" spans="1:30" x14ac:dyDescent="0.25">
      <c r="A20" s="28"/>
      <c r="B20" s="28"/>
      <c r="C20" s="28"/>
      <c r="D20" s="28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5"/>
      <c r="Q20" s="85"/>
      <c r="R20" s="85"/>
      <c r="S20" s="28"/>
      <c r="T20" s="98" t="s">
        <v>152</v>
      </c>
      <c r="U20" s="98"/>
      <c r="V20" s="98"/>
      <c r="W20" s="98"/>
      <c r="X20" s="98"/>
      <c r="Y20" s="98"/>
      <c r="Z20" s="98"/>
      <c r="AA20" s="28"/>
      <c r="AB20" s="4"/>
      <c r="AC20" s="4"/>
      <c r="AD20" s="4"/>
    </row>
    <row r="21" spans="1:30" x14ac:dyDescent="0.25">
      <c r="T21" s="98"/>
      <c r="U21" s="98"/>
      <c r="V21" s="98"/>
      <c r="W21" s="98"/>
      <c r="X21" s="98"/>
      <c r="Y21" s="98"/>
      <c r="Z21" s="98"/>
    </row>
    <row r="22" spans="1:30" x14ac:dyDescent="0.25">
      <c r="T22" s="98"/>
      <c r="U22" s="98"/>
      <c r="V22" s="98"/>
      <c r="W22" s="98"/>
      <c r="X22" s="98"/>
      <c r="Y22" s="98"/>
      <c r="Z22" s="98"/>
    </row>
    <row r="23" spans="1:30" x14ac:dyDescent="0.25">
      <c r="T23" s="98"/>
      <c r="U23" s="98"/>
      <c r="V23" s="98"/>
      <c r="W23" s="98"/>
      <c r="X23" s="98"/>
      <c r="Y23" s="98"/>
      <c r="Z23" s="98"/>
    </row>
    <row r="24" spans="1:30" x14ac:dyDescent="0.25">
      <c r="T24" s="98"/>
      <c r="U24" s="98"/>
      <c r="V24" s="98"/>
      <c r="W24" s="98"/>
      <c r="X24" s="98"/>
      <c r="Y24" s="98"/>
      <c r="Z24" s="98"/>
    </row>
    <row r="25" spans="1:30" x14ac:dyDescent="0.25">
      <c r="T25" s="98"/>
      <c r="U25" s="98"/>
      <c r="V25" s="98"/>
      <c r="W25" s="98"/>
      <c r="X25" s="98"/>
      <c r="Y25" s="98"/>
      <c r="Z25" s="98"/>
    </row>
    <row r="26" spans="1:30" x14ac:dyDescent="0.25">
      <c r="T26" s="98"/>
      <c r="U26" s="98"/>
      <c r="V26" s="98"/>
      <c r="W26" s="98"/>
      <c r="X26" s="98"/>
      <c r="Y26" s="98"/>
      <c r="Z26" s="98"/>
    </row>
    <row r="27" spans="1:30" x14ac:dyDescent="0.25">
      <c r="T27" s="98"/>
      <c r="U27" s="98"/>
      <c r="V27" s="98"/>
      <c r="W27" s="98"/>
      <c r="X27" s="98"/>
      <c r="Y27" s="98"/>
      <c r="Z27" s="98"/>
    </row>
    <row r="28" spans="1:30" x14ac:dyDescent="0.25">
      <c r="T28" s="98"/>
      <c r="U28" s="98"/>
      <c r="V28" s="98"/>
      <c r="W28" s="98"/>
      <c r="X28" s="98"/>
      <c r="Y28" s="98"/>
      <c r="Z28" s="98"/>
    </row>
    <row r="29" spans="1:30" x14ac:dyDescent="0.25">
      <c r="T29" s="98"/>
      <c r="U29" s="98"/>
      <c r="V29" s="98"/>
      <c r="W29" s="98"/>
      <c r="X29" s="98"/>
      <c r="Y29" s="98"/>
      <c r="Z29" s="98"/>
    </row>
  </sheetData>
  <dataConsolidate/>
  <mergeCells count="28">
    <mergeCell ref="I10:L10"/>
    <mergeCell ref="I11:L11"/>
    <mergeCell ref="I12:L12"/>
    <mergeCell ref="E15:H15"/>
    <mergeCell ref="E16:H16"/>
    <mergeCell ref="E14:H14"/>
    <mergeCell ref="E10:H10"/>
    <mergeCell ref="E11:H11"/>
    <mergeCell ref="E12:H12"/>
    <mergeCell ref="P5:Q5"/>
    <mergeCell ref="E6:H6"/>
    <mergeCell ref="E7:H7"/>
    <mergeCell ref="E8:H8"/>
    <mergeCell ref="E9:H9"/>
    <mergeCell ref="I6:L6"/>
    <mergeCell ref="I7:L7"/>
    <mergeCell ref="I8:L8"/>
    <mergeCell ref="I9:L9"/>
    <mergeCell ref="T8:V8"/>
    <mergeCell ref="T9:V9"/>
    <mergeCell ref="W9:Y9"/>
    <mergeCell ref="W8:Y8"/>
    <mergeCell ref="T5:V5"/>
    <mergeCell ref="T6:V6"/>
    <mergeCell ref="T7:V7"/>
    <mergeCell ref="W5:Y5"/>
    <mergeCell ref="W6:Y6"/>
    <mergeCell ref="W7:Y7"/>
  </mergeCells>
  <dataValidations count="3">
    <dataValidation type="list" allowBlank="1" showInputMessage="1" showErrorMessage="1" sqref="M10:O10" xr:uid="{85347FC0-56D3-48E3-9CDE-092D2A830F3A}">
      <formula1>TipoBoleto</formula1>
    </dataValidation>
    <dataValidation type="list" allowBlank="1" showInputMessage="1" showErrorMessage="1" sqref="W7 Z7:AA7" xr:uid="{4512A90B-C30F-44F0-886C-D7B10C9C7F26}">
      <formula1>Periodo</formula1>
    </dataValidation>
    <dataValidation type="list" allowBlank="1" showInputMessage="1" showErrorMessage="1" sqref="W5" xr:uid="{AB193159-B291-4E60-B6E1-11901AF74CCC}">
      <formula1>TipoJuego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8CAE47A-D226-4742-B79C-65B64A17680B}">
          <x14:formula1>
            <xm:f>Contexto!$H$2:$H$3</xm:f>
          </x14:formula1>
          <xm:sqref>M9:O9</xm:sqref>
        </x14:dataValidation>
        <x14:dataValidation type="list" allowBlank="1" showInputMessage="1" showErrorMessage="1" xr:uid="{AADCEF24-0ADE-4C41-9406-0C0DADF044B2}">
          <x14:formula1>
            <xm:f>Contexto!$G$2:$G$5</xm:f>
          </x14:formula1>
          <xm:sqref>I7 M7:O7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ApuestasUI"/>
  <dimension ref="A1:AF26"/>
  <sheetViews>
    <sheetView showGridLines="0" zoomScaleNormal="100" workbookViewId="0">
      <selection activeCell="AK17" sqref="AK17"/>
    </sheetView>
  </sheetViews>
  <sheetFormatPr baseColWidth="10" defaultRowHeight="15" x14ac:dyDescent="0.25"/>
  <cols>
    <col min="5" max="5" width="4.85546875" customWidth="1"/>
    <col min="6" max="16" width="4.140625" customWidth="1"/>
    <col min="17" max="17" width="2.5703125" customWidth="1"/>
    <col min="18" max="22" width="4.28515625" customWidth="1"/>
    <col min="23" max="23" width="7.28515625" customWidth="1"/>
    <col min="24" max="24" width="5.28515625" customWidth="1"/>
    <col min="25" max="25" width="15" customWidth="1"/>
    <col min="26" max="26" width="5.140625" customWidth="1"/>
    <col min="27" max="27" width="4.85546875" bestFit="1" customWidth="1"/>
    <col min="28" max="28" width="7.7109375" bestFit="1" customWidth="1"/>
    <col min="29" max="29" width="10.5703125" bestFit="1" customWidth="1"/>
    <col min="30" max="30" width="11.85546875" customWidth="1"/>
    <col min="31" max="31" width="11.28515625" bestFit="1" customWidth="1"/>
    <col min="32" max="32" width="14.28515625" bestFit="1" customWidth="1"/>
  </cols>
  <sheetData>
    <row r="1" spans="1:32" x14ac:dyDescent="0.25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6" t="s">
        <v>1</v>
      </c>
      <c r="AF1" s="79" t="str">
        <f>Contexto!B1</f>
        <v>Bonoloto</v>
      </c>
    </row>
    <row r="2" spans="1:32" x14ac:dyDescent="0.25">
      <c r="A2" s="5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6" t="s">
        <v>2</v>
      </c>
      <c r="AF2" s="79" t="str">
        <f>Contexto!B2</f>
        <v>Ultima Semana</v>
      </c>
    </row>
    <row r="3" spans="1:32" ht="20.25" thickBot="1" x14ac:dyDescent="0.35">
      <c r="A3" s="5"/>
      <c r="B3" s="5"/>
      <c r="C3" s="5"/>
      <c r="D3" s="5"/>
      <c r="E3" s="3" t="s">
        <v>78</v>
      </c>
      <c r="F3" s="3"/>
      <c r="G3" s="3"/>
      <c r="H3" s="3"/>
      <c r="I3" s="3"/>
      <c r="J3" s="3"/>
      <c r="W3" s="3" t="s">
        <v>99</v>
      </c>
      <c r="X3" s="3"/>
      <c r="Y3" s="3"/>
      <c r="AE3" s="6" t="s">
        <v>10</v>
      </c>
      <c r="AF3" s="79" t="str">
        <f>Contexto!B3</f>
        <v>90 sorteos</v>
      </c>
    </row>
    <row r="4" spans="1:32" ht="15.75" thickTop="1" x14ac:dyDescent="0.25">
      <c r="A4" s="5"/>
      <c r="B4" s="5"/>
      <c r="C4" s="5"/>
      <c r="D4" s="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  <c r="Q4" s="75"/>
      <c r="R4" s="75"/>
      <c r="S4" s="75"/>
      <c r="T4" s="75"/>
      <c r="U4" s="75"/>
      <c r="V4" s="75"/>
      <c r="W4" s="86" t="s">
        <v>104</v>
      </c>
      <c r="X4" s="85"/>
      <c r="Y4" s="85"/>
      <c r="Z4" s="85"/>
      <c r="AA4" s="85"/>
      <c r="AB4" s="85"/>
      <c r="AC4" s="85"/>
      <c r="AD4" s="85"/>
      <c r="AE4" s="6" t="s">
        <v>148</v>
      </c>
      <c r="AF4" s="79" t="str">
        <f>Contexto!B4</f>
        <v>Charly</v>
      </c>
    </row>
    <row r="5" spans="1:32" x14ac:dyDescent="0.25">
      <c r="A5" s="5"/>
      <c r="B5" s="5"/>
      <c r="C5" s="5"/>
      <c r="D5" s="5"/>
      <c r="E5" s="108" t="s">
        <v>97</v>
      </c>
      <c r="F5" s="108"/>
      <c r="G5" s="108"/>
      <c r="H5" s="108"/>
      <c r="I5" s="111">
        <v>4564</v>
      </c>
      <c r="J5" s="111"/>
      <c r="K5" s="111"/>
      <c r="L5" s="111"/>
      <c r="M5" s="108" t="s">
        <v>119</v>
      </c>
      <c r="N5" s="108"/>
      <c r="O5" s="108"/>
      <c r="P5" s="108"/>
      <c r="Q5" s="103" t="s">
        <v>120</v>
      </c>
      <c r="R5" s="103"/>
      <c r="S5" s="103"/>
      <c r="T5" s="75"/>
      <c r="U5" s="75"/>
      <c r="V5" s="75"/>
      <c r="W5" s="101" t="s">
        <v>1</v>
      </c>
      <c r="X5" s="101"/>
      <c r="Y5" s="101"/>
      <c r="Z5" s="103" t="s">
        <v>6</v>
      </c>
      <c r="AA5" s="103"/>
      <c r="AB5" s="103"/>
      <c r="AC5" s="103"/>
      <c r="AD5" s="85"/>
      <c r="AE5" s="4"/>
      <c r="AF5" s="4"/>
    </row>
    <row r="6" spans="1:32" x14ac:dyDescent="0.25">
      <c r="A6" s="5"/>
      <c r="B6" s="5"/>
      <c r="C6" s="5"/>
      <c r="D6" s="5"/>
      <c r="E6" s="108" t="s">
        <v>1</v>
      </c>
      <c r="F6" s="108"/>
      <c r="G6" s="108"/>
      <c r="H6" s="108"/>
      <c r="I6" s="103" t="s">
        <v>3</v>
      </c>
      <c r="J6" s="103"/>
      <c r="K6" s="103"/>
      <c r="L6" s="103"/>
      <c r="M6" s="108" t="s">
        <v>7</v>
      </c>
      <c r="N6" s="108"/>
      <c r="O6" s="108"/>
      <c r="P6" s="108"/>
      <c r="Q6" s="103" t="str">
        <f>CHOOSE(WEEKDAY(I7),"D","L","M","X","J","V","S")</f>
        <v>J</v>
      </c>
      <c r="R6" s="103"/>
      <c r="S6" s="103"/>
      <c r="T6" s="75"/>
      <c r="U6" s="75"/>
      <c r="V6" s="75"/>
      <c r="W6" s="101" t="s">
        <v>113</v>
      </c>
      <c r="X6" s="101"/>
      <c r="Y6" s="101"/>
      <c r="Z6" s="103"/>
      <c r="AA6" s="103"/>
      <c r="AB6" s="103"/>
      <c r="AC6" s="103"/>
      <c r="AD6" s="85"/>
      <c r="AE6" s="4"/>
      <c r="AF6" s="4"/>
    </row>
    <row r="7" spans="1:32" x14ac:dyDescent="0.25">
      <c r="A7" s="5"/>
      <c r="B7" s="5"/>
      <c r="C7" s="5"/>
      <c r="D7" s="5"/>
      <c r="E7" s="108" t="s">
        <v>5</v>
      </c>
      <c r="F7" s="108"/>
      <c r="G7" s="108"/>
      <c r="H7" s="108"/>
      <c r="I7" s="102">
        <v>43692</v>
      </c>
      <c r="J7" s="102"/>
      <c r="K7" s="102"/>
      <c r="L7" s="102"/>
      <c r="M7" s="108" t="s">
        <v>61</v>
      </c>
      <c r="N7" s="108"/>
      <c r="O7" s="108"/>
      <c r="P7" s="108"/>
      <c r="Q7" s="103">
        <f>WEEKNUM(I7,21)</f>
        <v>33</v>
      </c>
      <c r="R7" s="103"/>
      <c r="S7" s="103"/>
      <c r="T7" s="75"/>
      <c r="U7" s="75"/>
      <c r="V7" s="75"/>
      <c r="W7" s="101" t="s">
        <v>2</v>
      </c>
      <c r="X7" s="101"/>
      <c r="Y7" s="101"/>
      <c r="Z7" s="103" t="s">
        <v>86</v>
      </c>
      <c r="AA7" s="103"/>
      <c r="AB7" s="103"/>
      <c r="AC7" s="103"/>
      <c r="AD7" s="85"/>
      <c r="AE7" s="4"/>
      <c r="AF7" s="4"/>
    </row>
    <row r="8" spans="1:32" x14ac:dyDescent="0.25">
      <c r="A8" s="5"/>
      <c r="B8" s="5"/>
      <c r="C8" s="5"/>
      <c r="D8" s="5"/>
      <c r="E8" s="108" t="s">
        <v>94</v>
      </c>
      <c r="F8" s="108"/>
      <c r="G8" s="108"/>
      <c r="H8" s="108"/>
      <c r="I8" s="103" t="s">
        <v>75</v>
      </c>
      <c r="J8" s="103"/>
      <c r="K8" s="103"/>
      <c r="L8" s="103"/>
      <c r="M8" s="108" t="s">
        <v>26</v>
      </c>
      <c r="N8" s="108"/>
      <c r="O8" s="108"/>
      <c r="P8" s="108"/>
      <c r="Q8" s="109">
        <v>3.5</v>
      </c>
      <c r="R8" s="109"/>
      <c r="S8" s="109"/>
      <c r="T8" s="75"/>
      <c r="U8" s="75"/>
      <c r="V8" s="75"/>
      <c r="W8" s="101" t="s">
        <v>117</v>
      </c>
      <c r="X8" s="101"/>
      <c r="Y8" s="101"/>
      <c r="Z8" s="113"/>
      <c r="AA8" s="113"/>
      <c r="AB8" s="85"/>
      <c r="AC8" s="85"/>
      <c r="AD8" s="85"/>
      <c r="AE8" s="4"/>
      <c r="AF8" s="4"/>
    </row>
    <row r="9" spans="1:32" x14ac:dyDescent="0.25">
      <c r="A9" s="5"/>
      <c r="B9" s="5"/>
      <c r="C9" s="5"/>
      <c r="D9" s="5"/>
      <c r="E9" s="108" t="s">
        <v>100</v>
      </c>
      <c r="F9" s="108"/>
      <c r="G9" s="108"/>
      <c r="H9" s="108"/>
      <c r="I9" s="106" t="s">
        <v>102</v>
      </c>
      <c r="J9" s="106"/>
      <c r="K9" s="106"/>
      <c r="L9" s="106"/>
      <c r="M9" s="108" t="s">
        <v>27</v>
      </c>
      <c r="N9" s="108"/>
      <c r="O9" s="108"/>
      <c r="P9" s="108"/>
      <c r="Q9" s="110">
        <v>0</v>
      </c>
      <c r="R9" s="103"/>
      <c r="S9" s="103"/>
      <c r="T9" s="75"/>
      <c r="U9" s="75"/>
      <c r="V9" s="75"/>
      <c r="W9" s="101" t="s">
        <v>118</v>
      </c>
      <c r="X9" s="101"/>
      <c r="Y9" s="101"/>
      <c r="Z9" s="113"/>
      <c r="AA9" s="113"/>
      <c r="AB9" s="85"/>
      <c r="AC9" s="85"/>
      <c r="AD9" s="85"/>
      <c r="AE9" s="4"/>
      <c r="AF9" s="4"/>
    </row>
    <row r="10" spans="1:32" x14ac:dyDescent="0.25">
      <c r="A10" s="5"/>
      <c r="B10" s="5"/>
      <c r="C10" s="5"/>
      <c r="D10" s="5"/>
      <c r="E10" s="108" t="s">
        <v>95</v>
      </c>
      <c r="F10" s="108"/>
      <c r="G10" s="108"/>
      <c r="H10" s="108"/>
      <c r="I10" s="102">
        <v>43600</v>
      </c>
      <c r="J10" s="102"/>
      <c r="K10" s="102"/>
      <c r="L10" s="102"/>
      <c r="M10" s="108" t="s">
        <v>62</v>
      </c>
      <c r="N10" s="108"/>
      <c r="O10" s="108"/>
      <c r="P10" s="108"/>
      <c r="Q10" s="103" t="s">
        <v>109</v>
      </c>
      <c r="R10" s="103"/>
      <c r="S10" s="103"/>
      <c r="T10" s="103"/>
      <c r="U10" s="103"/>
      <c r="V10" s="75"/>
      <c r="W10" s="86" t="s">
        <v>105</v>
      </c>
      <c r="X10" s="85"/>
      <c r="Y10" s="85"/>
      <c r="Z10" s="85"/>
      <c r="AA10" s="85"/>
      <c r="AB10" s="85"/>
      <c r="AC10" s="85"/>
      <c r="AD10" s="85"/>
      <c r="AE10" s="4"/>
      <c r="AF10" s="4"/>
    </row>
    <row r="11" spans="1:32" x14ac:dyDescent="0.25">
      <c r="A11" s="5"/>
      <c r="B11" s="5"/>
      <c r="C11" s="5"/>
      <c r="D11" s="5"/>
      <c r="E11" s="108" t="s">
        <v>106</v>
      </c>
      <c r="F11" s="108"/>
      <c r="G11" s="108"/>
      <c r="H11" s="108"/>
      <c r="I11" s="103">
        <v>7</v>
      </c>
      <c r="J11" s="103"/>
      <c r="K11" s="103"/>
      <c r="L11" s="103"/>
      <c r="M11" s="108" t="s">
        <v>111</v>
      </c>
      <c r="N11" s="108"/>
      <c r="O11" s="108"/>
      <c r="P11" s="108"/>
      <c r="Q11" s="112" t="s">
        <v>112</v>
      </c>
      <c r="R11" s="112"/>
      <c r="S11" s="112"/>
      <c r="T11" s="112"/>
      <c r="U11" s="112"/>
      <c r="V11" s="75"/>
      <c r="W11" s="87" t="s">
        <v>97</v>
      </c>
      <c r="X11" s="88" t="s">
        <v>1</v>
      </c>
      <c r="Y11" s="87" t="s">
        <v>5</v>
      </c>
      <c r="Z11" s="87" t="s">
        <v>7</v>
      </c>
      <c r="AA11" s="87" t="s">
        <v>116</v>
      </c>
      <c r="AB11" s="87" t="s">
        <v>25</v>
      </c>
      <c r="AC11" s="87" t="s">
        <v>26</v>
      </c>
      <c r="AD11" s="87" t="s">
        <v>27</v>
      </c>
      <c r="AE11" s="4"/>
      <c r="AF11" s="4"/>
    </row>
    <row r="12" spans="1:32" ht="18.75" x14ac:dyDescent="0.3">
      <c r="A12" s="5"/>
      <c r="B12" s="5"/>
      <c r="C12" s="5"/>
      <c r="D12" s="5"/>
      <c r="E12" s="108" t="s">
        <v>96</v>
      </c>
      <c r="F12" s="108"/>
      <c r="G12" s="108"/>
      <c r="H12" s="108"/>
      <c r="I12" s="103" t="s">
        <v>107</v>
      </c>
      <c r="J12" s="103"/>
      <c r="K12" s="103"/>
      <c r="L12" s="103"/>
      <c r="M12" s="75"/>
      <c r="N12" s="75"/>
      <c r="O12" s="75"/>
      <c r="P12" s="75"/>
      <c r="Q12" s="112"/>
      <c r="R12" s="112"/>
      <c r="S12" s="112"/>
      <c r="T12" s="112"/>
      <c r="U12" s="112"/>
      <c r="V12" s="75"/>
      <c r="W12" s="82">
        <v>456</v>
      </c>
      <c r="X12" s="82" t="s">
        <v>114</v>
      </c>
      <c r="Y12" s="89">
        <v>43692</v>
      </c>
      <c r="Z12" s="82" t="s">
        <v>14</v>
      </c>
      <c r="AA12" s="82">
        <v>33</v>
      </c>
      <c r="AB12" s="82">
        <v>7</v>
      </c>
      <c r="AC12" s="90">
        <v>3.5</v>
      </c>
      <c r="AD12" s="90">
        <v>0</v>
      </c>
      <c r="AE12" s="4"/>
      <c r="AF12" s="4"/>
    </row>
    <row r="13" spans="1:32" ht="18.75" x14ac:dyDescent="0.3">
      <c r="A13" s="5"/>
      <c r="B13" s="5"/>
      <c r="C13" s="5"/>
      <c r="D13" s="5"/>
      <c r="E13" s="108" t="s">
        <v>76</v>
      </c>
      <c r="F13" s="108"/>
      <c r="G13" s="108"/>
      <c r="H13" s="108"/>
      <c r="I13" s="103">
        <v>5</v>
      </c>
      <c r="J13" s="103"/>
      <c r="K13" s="103"/>
      <c r="L13" s="103"/>
      <c r="M13" s="75"/>
      <c r="N13" s="75"/>
      <c r="O13" s="75"/>
      <c r="P13" s="75"/>
      <c r="Q13" s="112"/>
      <c r="R13" s="112"/>
      <c r="S13" s="112"/>
      <c r="T13" s="112"/>
      <c r="U13" s="112"/>
      <c r="V13" s="75"/>
      <c r="W13" s="82"/>
      <c r="X13" s="82"/>
      <c r="Y13" s="82"/>
      <c r="Z13" s="82"/>
      <c r="AA13" s="82"/>
      <c r="AB13" s="82"/>
      <c r="AC13" s="82"/>
      <c r="AD13" s="82"/>
      <c r="AE13" s="4"/>
      <c r="AF13" s="4"/>
    </row>
    <row r="14" spans="1:32" ht="18.75" x14ac:dyDescent="0.3">
      <c r="A14" s="5"/>
      <c r="B14" s="5"/>
      <c r="C14" s="5"/>
      <c r="D14" s="5"/>
      <c r="E14" s="75"/>
      <c r="F14" s="75"/>
      <c r="G14" s="75"/>
      <c r="H14" s="75"/>
      <c r="I14" s="75"/>
      <c r="J14" s="75"/>
      <c r="K14" s="75"/>
      <c r="L14" s="75"/>
      <c r="M14" s="75"/>
      <c r="N14" s="75"/>
      <c r="O14" s="75"/>
      <c r="P14" s="75"/>
      <c r="Q14" s="112"/>
      <c r="R14" s="112"/>
      <c r="S14" s="112"/>
      <c r="T14" s="112"/>
      <c r="U14" s="112"/>
      <c r="V14" s="75"/>
      <c r="W14" s="82"/>
      <c r="X14" s="82"/>
      <c r="Y14" s="82"/>
      <c r="Z14" s="82"/>
      <c r="AA14" s="82"/>
      <c r="AB14" s="82"/>
      <c r="AC14" s="82"/>
      <c r="AD14" s="82"/>
      <c r="AE14" s="4"/>
      <c r="AF14" s="4"/>
    </row>
    <row r="15" spans="1:32" ht="18.75" x14ac:dyDescent="0.3">
      <c r="A15" s="5"/>
      <c r="B15" s="5"/>
      <c r="C15" s="5"/>
      <c r="D15" s="5"/>
      <c r="E15" s="107" t="s">
        <v>25</v>
      </c>
      <c r="F15" s="107"/>
      <c r="G15" s="107"/>
      <c r="H15" s="107"/>
      <c r="I15" s="107"/>
      <c r="J15" s="107"/>
      <c r="K15" s="107"/>
      <c r="L15" s="107"/>
      <c r="M15" s="107"/>
      <c r="N15" s="107"/>
      <c r="O15" s="107"/>
      <c r="P15" s="107"/>
      <c r="Q15" s="107"/>
      <c r="R15" s="107"/>
      <c r="S15" s="107"/>
      <c r="T15" s="107"/>
      <c r="U15" s="107"/>
      <c r="V15" s="107"/>
      <c r="W15" s="82"/>
      <c r="X15" s="82"/>
      <c r="Y15" s="82"/>
      <c r="Z15" s="82"/>
      <c r="AA15" s="82"/>
      <c r="AB15" s="82"/>
      <c r="AC15" s="82"/>
      <c r="AD15" s="82"/>
      <c r="AE15" s="4"/>
      <c r="AF15" s="4"/>
    </row>
    <row r="16" spans="1:32" s="84" customFormat="1" ht="18.75" x14ac:dyDescent="0.3">
      <c r="A16" s="81"/>
      <c r="B16" s="81"/>
      <c r="C16" s="81"/>
      <c r="D16" s="81"/>
      <c r="E16" s="78">
        <v>1</v>
      </c>
      <c r="F16" s="82">
        <v>11</v>
      </c>
      <c r="G16" s="82">
        <v>22</v>
      </c>
      <c r="H16" s="82">
        <v>33</v>
      </c>
      <c r="I16" s="82">
        <v>44</v>
      </c>
      <c r="J16" s="82">
        <v>55</v>
      </c>
      <c r="K16" s="82">
        <v>66</v>
      </c>
      <c r="L16" s="82">
        <v>77</v>
      </c>
      <c r="M16" s="82">
        <v>88</v>
      </c>
      <c r="N16" s="82">
        <v>99</v>
      </c>
      <c r="O16" s="82">
        <v>10</v>
      </c>
      <c r="P16" s="82">
        <v>11</v>
      </c>
      <c r="Q16" s="78" t="s">
        <v>98</v>
      </c>
      <c r="R16" s="82">
        <v>11</v>
      </c>
      <c r="S16" s="82">
        <v>22</v>
      </c>
      <c r="T16" s="82">
        <v>33</v>
      </c>
      <c r="U16" s="82">
        <v>44</v>
      </c>
      <c r="V16" s="82">
        <v>55</v>
      </c>
      <c r="W16" s="82"/>
      <c r="X16" s="82"/>
      <c r="Y16" s="82"/>
      <c r="Z16" s="82"/>
      <c r="AA16" s="82"/>
      <c r="AB16" s="82"/>
      <c r="AC16" s="82"/>
      <c r="AD16" s="82"/>
      <c r="AE16" s="83"/>
      <c r="AF16" s="83"/>
    </row>
    <row r="17" spans="1:32" s="84" customFormat="1" ht="18.75" x14ac:dyDescent="0.3">
      <c r="A17" s="81"/>
      <c r="B17" s="81"/>
      <c r="C17" s="81"/>
      <c r="D17" s="81"/>
      <c r="E17" s="78">
        <v>2</v>
      </c>
      <c r="F17" s="82">
        <v>11</v>
      </c>
      <c r="G17" s="82">
        <v>22</v>
      </c>
      <c r="H17" s="82">
        <v>33</v>
      </c>
      <c r="I17" s="82">
        <v>44</v>
      </c>
      <c r="J17" s="82">
        <v>55</v>
      </c>
      <c r="K17" s="82">
        <v>66</v>
      </c>
      <c r="L17" s="78" t="s">
        <v>98</v>
      </c>
      <c r="M17" s="82">
        <v>11</v>
      </c>
      <c r="N17" s="82">
        <v>22</v>
      </c>
      <c r="O17" s="78"/>
      <c r="P17" s="78"/>
      <c r="Q17" s="78"/>
      <c r="R17" s="78"/>
      <c r="S17" s="78"/>
      <c r="T17" s="78"/>
      <c r="U17" s="78"/>
      <c r="V17" s="78"/>
      <c r="W17" s="82"/>
      <c r="X17" s="82"/>
      <c r="Y17" s="82"/>
      <c r="Z17" s="82"/>
      <c r="AA17" s="82"/>
      <c r="AB17" s="82"/>
      <c r="AC17" s="82"/>
      <c r="AD17" s="82"/>
      <c r="AE17" s="83"/>
      <c r="AF17" s="83"/>
    </row>
    <row r="18" spans="1:32" s="84" customFormat="1" ht="18.75" x14ac:dyDescent="0.3">
      <c r="A18" s="81"/>
      <c r="B18" s="81"/>
      <c r="C18" s="81"/>
      <c r="D18" s="81"/>
      <c r="E18" s="78">
        <v>3</v>
      </c>
      <c r="F18" s="82">
        <v>11</v>
      </c>
      <c r="G18" s="82">
        <v>22</v>
      </c>
      <c r="H18" s="82">
        <v>33</v>
      </c>
      <c r="I18" s="82">
        <v>44</v>
      </c>
      <c r="J18" s="82">
        <v>55</v>
      </c>
      <c r="K18" s="82">
        <v>66</v>
      </c>
      <c r="L18" s="78" t="s">
        <v>98</v>
      </c>
      <c r="M18" s="82">
        <v>11</v>
      </c>
      <c r="N18" s="82">
        <v>22</v>
      </c>
      <c r="O18" s="78"/>
      <c r="P18" s="78"/>
      <c r="Q18" s="78"/>
      <c r="R18" s="78"/>
      <c r="S18" s="78"/>
      <c r="T18" s="78"/>
      <c r="U18" s="78"/>
      <c r="V18" s="78"/>
      <c r="W18" s="82"/>
      <c r="X18" s="82"/>
      <c r="Y18" s="82"/>
      <c r="Z18" s="82"/>
      <c r="AA18" s="82"/>
      <c r="AB18" s="82"/>
      <c r="AC18" s="82"/>
      <c r="AD18" s="82"/>
      <c r="AE18" s="83"/>
      <c r="AF18" s="83"/>
    </row>
    <row r="19" spans="1:32" s="84" customFormat="1" ht="18.75" x14ac:dyDescent="0.3">
      <c r="A19" s="81"/>
      <c r="B19" s="81"/>
      <c r="C19" s="81"/>
      <c r="D19" s="81"/>
      <c r="E19" s="78">
        <v>4</v>
      </c>
      <c r="F19" s="82">
        <v>11</v>
      </c>
      <c r="G19" s="82">
        <v>22</v>
      </c>
      <c r="H19" s="82">
        <v>33</v>
      </c>
      <c r="I19" s="82">
        <v>44</v>
      </c>
      <c r="J19" s="82">
        <v>55</v>
      </c>
      <c r="K19" s="82">
        <v>66</v>
      </c>
      <c r="L19" s="78" t="s">
        <v>98</v>
      </c>
      <c r="M19" s="82">
        <v>11</v>
      </c>
      <c r="N19" s="82">
        <v>22</v>
      </c>
      <c r="O19" s="78"/>
      <c r="P19" s="78"/>
      <c r="Q19" s="78"/>
      <c r="R19" s="78"/>
      <c r="S19" s="78"/>
      <c r="T19" s="78"/>
      <c r="U19" s="78"/>
      <c r="V19" s="78"/>
      <c r="W19" s="82"/>
      <c r="X19" s="82"/>
      <c r="Y19" s="82"/>
      <c r="Z19" s="82"/>
      <c r="AA19" s="82"/>
      <c r="AB19" s="82"/>
      <c r="AC19" s="82"/>
      <c r="AD19" s="82"/>
      <c r="AE19" s="83"/>
      <c r="AF19" s="83"/>
    </row>
    <row r="20" spans="1:32" s="84" customFormat="1" ht="18.75" x14ac:dyDescent="0.3">
      <c r="A20" s="81"/>
      <c r="B20" s="81"/>
      <c r="C20" s="81"/>
      <c r="D20" s="81"/>
      <c r="E20" s="78">
        <v>5</v>
      </c>
      <c r="F20" s="82">
        <v>11</v>
      </c>
      <c r="G20" s="82">
        <v>22</v>
      </c>
      <c r="H20" s="82">
        <v>33</v>
      </c>
      <c r="I20" s="82">
        <v>44</v>
      </c>
      <c r="J20" s="82">
        <v>55</v>
      </c>
      <c r="K20" s="82">
        <v>66</v>
      </c>
      <c r="L20" s="78" t="s">
        <v>98</v>
      </c>
      <c r="M20" s="82">
        <v>11</v>
      </c>
      <c r="N20" s="82">
        <v>22</v>
      </c>
      <c r="O20" s="78"/>
      <c r="P20" s="78"/>
      <c r="Q20" s="78"/>
      <c r="R20" s="78"/>
      <c r="S20" s="78"/>
      <c r="T20" s="78"/>
      <c r="U20" s="78"/>
      <c r="V20" s="78"/>
      <c r="W20" s="82"/>
      <c r="X20" s="82"/>
      <c r="Y20" s="82"/>
      <c r="Z20" s="82"/>
      <c r="AA20" s="82"/>
      <c r="AB20" s="82"/>
      <c r="AC20" s="82"/>
      <c r="AD20" s="82"/>
      <c r="AE20" s="83"/>
      <c r="AF20" s="83"/>
    </row>
    <row r="21" spans="1:32" s="84" customFormat="1" ht="18.75" x14ac:dyDescent="0.3">
      <c r="A21" s="81"/>
      <c r="B21" s="81"/>
      <c r="C21" s="81"/>
      <c r="D21" s="81"/>
      <c r="E21" s="78">
        <v>6</v>
      </c>
      <c r="F21" s="82">
        <v>11</v>
      </c>
      <c r="G21" s="82">
        <v>22</v>
      </c>
      <c r="H21" s="82">
        <v>33</v>
      </c>
      <c r="I21" s="82">
        <v>44</v>
      </c>
      <c r="J21" s="82">
        <v>55</v>
      </c>
      <c r="K21" s="82">
        <v>66</v>
      </c>
      <c r="L21" s="78"/>
      <c r="M21" s="78"/>
      <c r="N21" s="78"/>
      <c r="O21" s="78"/>
      <c r="P21" s="78"/>
      <c r="Q21" s="78"/>
      <c r="R21" s="78"/>
      <c r="S21" s="78"/>
      <c r="T21" s="78"/>
      <c r="U21" s="78"/>
      <c r="V21" s="78"/>
      <c r="W21" s="82"/>
      <c r="X21" s="82"/>
      <c r="Y21" s="82"/>
      <c r="Z21" s="82"/>
      <c r="AA21" s="82"/>
      <c r="AB21" s="82"/>
      <c r="AC21" s="82"/>
      <c r="AD21" s="82"/>
      <c r="AE21" s="83"/>
      <c r="AF21" s="83"/>
    </row>
    <row r="22" spans="1:32" s="84" customFormat="1" ht="18.75" x14ac:dyDescent="0.3">
      <c r="A22" s="81"/>
      <c r="B22" s="81"/>
      <c r="C22" s="81"/>
      <c r="D22" s="81"/>
      <c r="E22" s="78">
        <v>7</v>
      </c>
      <c r="F22" s="82">
        <v>11</v>
      </c>
      <c r="G22" s="82">
        <v>22</v>
      </c>
      <c r="H22" s="82">
        <v>33</v>
      </c>
      <c r="I22" s="82">
        <v>44</v>
      </c>
      <c r="J22" s="82">
        <v>55</v>
      </c>
      <c r="K22" s="82">
        <v>66</v>
      </c>
      <c r="L22" s="78"/>
      <c r="M22" s="78"/>
      <c r="N22" s="78"/>
      <c r="O22" s="78"/>
      <c r="P22" s="78"/>
      <c r="Q22" s="78"/>
      <c r="R22" s="78"/>
      <c r="S22" s="78"/>
      <c r="T22" s="78"/>
      <c r="U22" s="78"/>
      <c r="V22" s="78"/>
      <c r="W22" s="82"/>
      <c r="X22" s="82"/>
      <c r="Y22" s="82"/>
      <c r="Z22" s="82"/>
      <c r="AA22" s="82"/>
      <c r="AB22" s="82"/>
      <c r="AC22" s="82"/>
      <c r="AD22" s="82"/>
      <c r="AE22" s="83"/>
      <c r="AF22" s="83"/>
    </row>
    <row r="23" spans="1:32" s="84" customFormat="1" ht="18.75" x14ac:dyDescent="0.3">
      <c r="A23" s="81"/>
      <c r="B23" s="81"/>
      <c r="C23" s="81"/>
      <c r="D23" s="81"/>
      <c r="E23" s="78">
        <v>8</v>
      </c>
      <c r="F23" s="82">
        <v>11</v>
      </c>
      <c r="G23" s="82">
        <v>22</v>
      </c>
      <c r="H23" s="82">
        <v>33</v>
      </c>
      <c r="I23" s="82">
        <v>44</v>
      </c>
      <c r="J23" s="82">
        <v>55</v>
      </c>
      <c r="K23" s="82">
        <v>66</v>
      </c>
      <c r="L23" s="78"/>
      <c r="M23" s="78"/>
      <c r="N23" s="78"/>
      <c r="O23" s="78"/>
      <c r="P23" s="78"/>
      <c r="Q23" s="78"/>
      <c r="R23" s="78"/>
      <c r="S23" s="78"/>
      <c r="T23" s="78"/>
      <c r="U23" s="78"/>
      <c r="V23" s="78"/>
      <c r="W23" s="82"/>
      <c r="X23" s="82"/>
      <c r="Y23" s="82"/>
      <c r="Z23" s="82"/>
      <c r="AA23" s="82"/>
      <c r="AB23" s="82"/>
      <c r="AC23" s="82"/>
      <c r="AD23" s="82"/>
      <c r="AE23" s="83"/>
      <c r="AF23" s="83"/>
    </row>
    <row r="24" spans="1:32" ht="18.75" x14ac:dyDescent="0.3">
      <c r="A24" s="81"/>
      <c r="B24" s="81"/>
      <c r="C24" s="81"/>
      <c r="D24" s="81"/>
      <c r="E24" s="75"/>
      <c r="F24" s="75"/>
      <c r="G24" s="75"/>
      <c r="H24" s="75"/>
      <c r="I24" s="75"/>
      <c r="J24" s="75"/>
      <c r="K24" s="75"/>
      <c r="L24" s="75"/>
      <c r="M24" s="75"/>
      <c r="N24" s="75"/>
      <c r="O24" s="75"/>
      <c r="P24" s="75"/>
      <c r="Q24" s="75"/>
      <c r="R24" s="75"/>
      <c r="S24" s="75"/>
      <c r="T24" s="75"/>
      <c r="U24" s="75"/>
      <c r="V24" s="75"/>
      <c r="W24" s="86" t="s">
        <v>115</v>
      </c>
      <c r="X24" s="85"/>
      <c r="Y24" s="85"/>
      <c r="Z24" s="85"/>
      <c r="AA24" s="85"/>
      <c r="AB24" s="85"/>
      <c r="AC24" s="85"/>
      <c r="AD24" s="85"/>
      <c r="AE24" s="4"/>
      <c r="AF24" s="4"/>
    </row>
    <row r="25" spans="1:32" x14ac:dyDescent="0.25">
      <c r="X25" s="80"/>
      <c r="Y25" s="80"/>
      <c r="Z25" s="80"/>
      <c r="AA25" s="80"/>
      <c r="AB25" s="80"/>
      <c r="AC25" s="80"/>
      <c r="AD25" s="80"/>
    </row>
    <row r="26" spans="1:32" x14ac:dyDescent="0.25">
      <c r="X26" s="80"/>
      <c r="Y26" s="80"/>
      <c r="Z26" s="80"/>
      <c r="AA26" s="80"/>
      <c r="AB26" s="80"/>
      <c r="AC26" s="80"/>
      <c r="AD26" s="80"/>
    </row>
  </sheetData>
  <mergeCells count="43">
    <mergeCell ref="Z5:AC5"/>
    <mergeCell ref="Z6:AC6"/>
    <mergeCell ref="Z7:AC7"/>
    <mergeCell ref="Z8:AA8"/>
    <mergeCell ref="Z9:AA9"/>
    <mergeCell ref="Q11:U14"/>
    <mergeCell ref="I11:L11"/>
    <mergeCell ref="I12:L12"/>
    <mergeCell ref="I13:L13"/>
    <mergeCell ref="W5:Y5"/>
    <mergeCell ref="W6:Y6"/>
    <mergeCell ref="W7:Y7"/>
    <mergeCell ref="W8:Y8"/>
    <mergeCell ref="W9:Y9"/>
    <mergeCell ref="E5:H5"/>
    <mergeCell ref="E6:H6"/>
    <mergeCell ref="E7:H7"/>
    <mergeCell ref="Q10:U10"/>
    <mergeCell ref="E8:H8"/>
    <mergeCell ref="E9:H9"/>
    <mergeCell ref="E10:H10"/>
    <mergeCell ref="M9:P9"/>
    <mergeCell ref="Q9:S9"/>
    <mergeCell ref="I5:L5"/>
    <mergeCell ref="I9:L9"/>
    <mergeCell ref="M5:P5"/>
    <mergeCell ref="Q5:S5"/>
    <mergeCell ref="E15:V15"/>
    <mergeCell ref="M10:P10"/>
    <mergeCell ref="I6:L6"/>
    <mergeCell ref="I7:L7"/>
    <mergeCell ref="I8:L8"/>
    <mergeCell ref="I10:L10"/>
    <mergeCell ref="M6:P6"/>
    <mergeCell ref="Q6:S6"/>
    <mergeCell ref="M7:P7"/>
    <mergeCell ref="Q7:S7"/>
    <mergeCell ref="M8:P8"/>
    <mergeCell ref="Q8:S8"/>
    <mergeCell ref="E11:H11"/>
    <mergeCell ref="E12:H12"/>
    <mergeCell ref="E13:H13"/>
    <mergeCell ref="M11:P11"/>
  </mergeCells>
  <dataValidations count="4">
    <dataValidation type="list" allowBlank="1" showInputMessage="1" showErrorMessage="1" sqref="I9:L9" xr:uid="{94CB6BED-2825-4CAF-B826-ED5D896A89C6}">
      <formula1>TipoBoleto</formula1>
    </dataValidation>
    <dataValidation type="list" allowBlank="1" showInputMessage="1" showErrorMessage="1" sqref="Q10:U10" xr:uid="{703D83D5-DFE6-48C0-B568-76B9B8166067}">
      <formula1>Participantes</formula1>
    </dataValidation>
    <dataValidation type="list" allowBlank="1" showInputMessage="1" showErrorMessage="1" sqref="Z5:AC5" xr:uid="{9C1728A1-FEAE-4871-946A-96293E3ADAB4}">
      <formula1>TipoJuego</formula1>
    </dataValidation>
    <dataValidation type="list" allowBlank="1" showInputMessage="1" showErrorMessage="1" sqref="Z7:AC7" xr:uid="{059E8251-09A1-4D7A-AFEA-B5CBB38954F5}">
      <formula1>Periodo</formula1>
    </dataValidation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7696442-3C40-4A17-9836-F8A6A0D6A531}">
          <x14:formula1>
            <xm:f>Contexto!$G$2:$G$5</xm:f>
          </x14:formula1>
          <xm:sqref>I6:L6</xm:sqref>
        </x14:dataValidation>
        <x14:dataValidation type="list" allowBlank="1" showInputMessage="1" showErrorMessage="1" xr:uid="{EFDA591E-BBAD-46EA-A4C9-98D993701874}">
          <x14:formula1>
            <xm:f>Contexto!$H$2:$H$3</xm:f>
          </x14:formula1>
          <xm:sqref>I8:L8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EstadisticaUI"/>
  <dimension ref="A1:AA56"/>
  <sheetViews>
    <sheetView showGridLines="0" workbookViewId="0">
      <selection activeCell="H7" sqref="H7"/>
    </sheetView>
  </sheetViews>
  <sheetFormatPr baseColWidth="10" defaultRowHeight="15" x14ac:dyDescent="0.25"/>
  <cols>
    <col min="1" max="1" width="3.5703125" customWidth="1"/>
    <col min="4" max="4" width="18.140625" customWidth="1"/>
    <col min="5" max="5" width="4.85546875" customWidth="1"/>
    <col min="6" max="6" width="10.5703125" bestFit="1" customWidth="1"/>
    <col min="7" max="7" width="13.7109375" bestFit="1" customWidth="1"/>
    <col min="8" max="8" width="12.140625" bestFit="1" customWidth="1"/>
    <col min="9" max="9" width="7.42578125" bestFit="1" customWidth="1"/>
    <col min="10" max="10" width="14.5703125" bestFit="1" customWidth="1"/>
    <col min="11" max="11" width="18.42578125" bestFit="1" customWidth="1"/>
    <col min="12" max="12" width="10" bestFit="1" customWidth="1"/>
    <col min="13" max="13" width="7.5703125" bestFit="1" customWidth="1"/>
    <col min="14" max="14" width="8.42578125" bestFit="1" customWidth="1"/>
    <col min="15" max="15" width="7.140625" bestFit="1" customWidth="1"/>
    <col min="16" max="16" width="6.85546875" bestFit="1" customWidth="1"/>
    <col min="17" max="17" width="14.85546875" bestFit="1" customWidth="1"/>
    <col min="18" max="18" width="16.140625" bestFit="1" customWidth="1"/>
    <col min="19" max="19" width="14.28515625" bestFit="1" customWidth="1"/>
    <col min="20" max="20" width="9.85546875" bestFit="1" customWidth="1"/>
    <col min="21" max="21" width="10" bestFit="1" customWidth="1"/>
    <col min="22" max="22" width="7.5703125" bestFit="1" customWidth="1"/>
    <col min="23" max="23" width="12.42578125" bestFit="1" customWidth="1"/>
    <col min="24" max="24" width="13.85546875" bestFit="1" customWidth="1"/>
    <col min="26" max="26" width="11.140625" bestFit="1" customWidth="1"/>
    <col min="27" max="27" width="14.28515625" bestFit="1" customWidth="1"/>
  </cols>
  <sheetData>
    <row r="1" spans="1:27" x14ac:dyDescent="0.25">
      <c r="A1" s="7"/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8" t="s">
        <v>1</v>
      </c>
      <c r="AA1" s="7" t="str">
        <f>Contexto!B1</f>
        <v>Bonoloto</v>
      </c>
    </row>
    <row r="2" spans="1:27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8" t="s">
        <v>2</v>
      </c>
      <c r="AA2" s="7" t="str">
        <f>Contexto!B2</f>
        <v>Ultima Semana</v>
      </c>
    </row>
    <row r="3" spans="1:27" ht="19.5" x14ac:dyDescent="0.3">
      <c r="A3" s="7"/>
      <c r="B3" s="7"/>
      <c r="C3" s="7"/>
      <c r="D3" s="7"/>
      <c r="E3" s="3" t="s">
        <v>10</v>
      </c>
      <c r="F3" s="3"/>
      <c r="G3" s="3"/>
      <c r="Y3" s="7"/>
      <c r="Z3" s="8" t="s">
        <v>10</v>
      </c>
      <c r="AA3" s="7" t="str">
        <f>+Contexto!B3</f>
        <v>90 sorteos</v>
      </c>
    </row>
    <row r="4" spans="1:27" x14ac:dyDescent="0.25">
      <c r="A4" s="7"/>
      <c r="B4" s="7"/>
      <c r="C4" s="7"/>
      <c r="D4" s="7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</row>
    <row r="5" spans="1:27" x14ac:dyDescent="0.25">
      <c r="A5" s="7"/>
      <c r="B5" s="7"/>
      <c r="C5" s="7"/>
      <c r="D5" s="7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</row>
    <row r="6" spans="1:27" x14ac:dyDescent="0.25">
      <c r="A6" s="7"/>
      <c r="B6" s="7"/>
      <c r="C6" s="7"/>
      <c r="D6" s="7"/>
      <c r="E6" s="4"/>
      <c r="F6" t="s">
        <v>31</v>
      </c>
      <c r="G6" t="s">
        <v>32</v>
      </c>
      <c r="H6" t="s">
        <v>33</v>
      </c>
      <c r="I6" t="s">
        <v>34</v>
      </c>
      <c r="J6" t="s">
        <v>35</v>
      </c>
      <c r="K6" t="s">
        <v>36</v>
      </c>
      <c r="L6" t="s">
        <v>37</v>
      </c>
      <c r="M6" t="s">
        <v>38</v>
      </c>
      <c r="N6" t="s">
        <v>39</v>
      </c>
      <c r="O6" t="s">
        <v>40</v>
      </c>
      <c r="P6" t="s">
        <v>41</v>
      </c>
      <c r="Q6" t="s">
        <v>42</v>
      </c>
      <c r="R6" t="s">
        <v>43</v>
      </c>
      <c r="S6" t="s">
        <v>44</v>
      </c>
      <c r="T6" t="s">
        <v>45</v>
      </c>
      <c r="U6" t="s">
        <v>46</v>
      </c>
      <c r="V6" t="s">
        <v>47</v>
      </c>
      <c r="W6" t="s">
        <v>48</v>
      </c>
      <c r="X6" t="s">
        <v>49</v>
      </c>
      <c r="Y6" s="4"/>
      <c r="Z6" s="4"/>
      <c r="AA6" s="4"/>
    </row>
    <row r="7" spans="1:27" x14ac:dyDescent="0.25">
      <c r="A7" s="7"/>
      <c r="B7" s="7"/>
      <c r="C7" s="7"/>
      <c r="D7" s="7"/>
      <c r="E7" s="4"/>
      <c r="F7" s="9">
        <v>1</v>
      </c>
      <c r="G7" s="10">
        <v>8</v>
      </c>
      <c r="H7" s="10">
        <v>8</v>
      </c>
      <c r="I7" s="11">
        <v>3.6866359447004608E-2</v>
      </c>
      <c r="J7" s="12">
        <v>5.2204040280062557E-11</v>
      </c>
      <c r="K7" s="12">
        <v>0</v>
      </c>
      <c r="L7" s="13">
        <v>2.7142857142857144</v>
      </c>
      <c r="M7" s="13">
        <v>2</v>
      </c>
      <c r="N7" s="14">
        <v>1</v>
      </c>
      <c r="O7" s="10">
        <v>5</v>
      </c>
      <c r="P7" s="10">
        <v>1</v>
      </c>
      <c r="Q7" s="15">
        <v>43465</v>
      </c>
      <c r="R7" s="16">
        <v>43474</v>
      </c>
      <c r="S7">
        <v>1</v>
      </c>
      <c r="T7">
        <v>1</v>
      </c>
      <c r="U7" t="s">
        <v>50</v>
      </c>
      <c r="V7" t="s">
        <v>51</v>
      </c>
      <c r="W7" t="s">
        <v>52</v>
      </c>
      <c r="X7" t="s">
        <v>53</v>
      </c>
      <c r="Y7" s="4"/>
      <c r="Z7" s="4"/>
      <c r="AA7" s="4"/>
    </row>
    <row r="8" spans="1:27" x14ac:dyDescent="0.25">
      <c r="A8" s="7"/>
      <c r="B8" s="7"/>
      <c r="C8" s="7"/>
      <c r="D8" s="7"/>
      <c r="E8" s="4"/>
      <c r="F8" s="9">
        <v>2</v>
      </c>
      <c r="G8" s="10">
        <v>6</v>
      </c>
      <c r="H8" s="10">
        <v>10</v>
      </c>
      <c r="I8" s="17">
        <v>2.7649769585253458E-2</v>
      </c>
      <c r="J8" s="12">
        <v>5.5939781068106975E-15</v>
      </c>
      <c r="K8" s="12">
        <v>0</v>
      </c>
      <c r="L8" s="18">
        <v>4.2</v>
      </c>
      <c r="M8" s="13">
        <v>2</v>
      </c>
      <c r="N8" s="13">
        <v>4</v>
      </c>
      <c r="O8" s="10">
        <v>7</v>
      </c>
      <c r="P8" s="10">
        <v>1</v>
      </c>
      <c r="Q8" s="15">
        <v>43462</v>
      </c>
      <c r="R8" s="16">
        <v>43474</v>
      </c>
      <c r="S8">
        <v>2</v>
      </c>
      <c r="T8">
        <v>1</v>
      </c>
      <c r="U8" t="s">
        <v>54</v>
      </c>
      <c r="V8" t="s">
        <v>51</v>
      </c>
      <c r="W8" t="s">
        <v>55</v>
      </c>
      <c r="X8" t="s">
        <v>8</v>
      </c>
      <c r="Y8" s="4"/>
      <c r="Z8" s="4"/>
      <c r="AA8" s="4"/>
    </row>
    <row r="9" spans="1:27" x14ac:dyDescent="0.25">
      <c r="A9" s="7"/>
      <c r="B9" s="7"/>
      <c r="C9" s="7"/>
      <c r="D9" s="7"/>
      <c r="E9" s="4"/>
      <c r="F9" s="9">
        <v>3</v>
      </c>
      <c r="G9" s="10">
        <v>2</v>
      </c>
      <c r="H9" s="10">
        <v>13</v>
      </c>
      <c r="I9" s="19">
        <v>9.2165898617511521E-3</v>
      </c>
      <c r="J9" s="12">
        <v>0</v>
      </c>
      <c r="K9" s="11">
        <v>0.5</v>
      </c>
      <c r="L9" s="20">
        <v>10</v>
      </c>
      <c r="M9" s="14">
        <v>0</v>
      </c>
      <c r="N9" s="20">
        <v>10</v>
      </c>
      <c r="O9" s="10">
        <v>10</v>
      </c>
      <c r="P9" s="10">
        <v>10</v>
      </c>
      <c r="Q9" s="15">
        <v>43459</v>
      </c>
      <c r="R9" s="16">
        <v>43474</v>
      </c>
      <c r="S9">
        <v>3</v>
      </c>
      <c r="T9">
        <v>1</v>
      </c>
      <c r="U9" t="s">
        <v>50</v>
      </c>
      <c r="V9" t="s">
        <v>51</v>
      </c>
      <c r="W9" t="s">
        <v>52</v>
      </c>
      <c r="X9" t="s">
        <v>8</v>
      </c>
      <c r="Y9" s="4"/>
      <c r="Z9" s="4"/>
      <c r="AA9" s="4"/>
    </row>
    <row r="10" spans="1:27" x14ac:dyDescent="0.25">
      <c r="A10" s="7"/>
      <c r="B10" s="7"/>
      <c r="C10" s="7"/>
      <c r="D10" s="7"/>
      <c r="E10" s="4"/>
      <c r="F10" s="9">
        <v>4</v>
      </c>
      <c r="G10" s="10">
        <v>3</v>
      </c>
      <c r="H10" s="10">
        <v>8</v>
      </c>
      <c r="I10" s="21">
        <v>1.3824884792626729E-2</v>
      </c>
      <c r="J10" s="12">
        <v>2.1956166556660337E-12</v>
      </c>
      <c r="K10" s="12">
        <v>0</v>
      </c>
      <c r="L10" s="20">
        <v>10</v>
      </c>
      <c r="M10" s="22">
        <v>9</v>
      </c>
      <c r="N10" s="20">
        <v>10</v>
      </c>
      <c r="O10" s="10">
        <v>19</v>
      </c>
      <c r="P10" s="10">
        <v>1</v>
      </c>
      <c r="Q10" s="15">
        <v>43465</v>
      </c>
      <c r="R10" s="16">
        <v>43476</v>
      </c>
      <c r="S10">
        <v>4</v>
      </c>
      <c r="T10">
        <v>1</v>
      </c>
      <c r="U10" t="s">
        <v>54</v>
      </c>
      <c r="V10" t="s">
        <v>51</v>
      </c>
      <c r="W10" t="s">
        <v>52</v>
      </c>
      <c r="X10" t="s">
        <v>53</v>
      </c>
      <c r="Y10" s="4"/>
      <c r="Z10" s="4"/>
      <c r="AA10" s="4"/>
    </row>
    <row r="11" spans="1:27" x14ac:dyDescent="0.25">
      <c r="A11" s="7"/>
      <c r="B11" s="7"/>
      <c r="C11" s="7"/>
      <c r="D11" s="7"/>
      <c r="E11" s="4"/>
      <c r="F11" s="9">
        <v>5</v>
      </c>
      <c r="G11" s="10">
        <v>7</v>
      </c>
      <c r="H11" s="10">
        <v>1</v>
      </c>
      <c r="I11" s="11">
        <v>3.2258064516129031E-2</v>
      </c>
      <c r="J11" s="17">
        <v>0.14095593769594877</v>
      </c>
      <c r="K11" s="19">
        <v>0.14285714285714285</v>
      </c>
      <c r="L11" s="13">
        <v>3.6666666666666665</v>
      </c>
      <c r="M11" s="13">
        <v>2</v>
      </c>
      <c r="N11" s="13">
        <v>3</v>
      </c>
      <c r="O11" s="10">
        <v>9</v>
      </c>
      <c r="P11" s="10">
        <v>1</v>
      </c>
      <c r="Q11" s="15">
        <v>43473</v>
      </c>
      <c r="R11" s="16">
        <v>43475</v>
      </c>
      <c r="S11">
        <v>5</v>
      </c>
      <c r="T11">
        <v>1</v>
      </c>
      <c r="U11" t="s">
        <v>50</v>
      </c>
      <c r="V11" t="s">
        <v>51</v>
      </c>
      <c r="W11" t="s">
        <v>55</v>
      </c>
      <c r="X11" t="s">
        <v>56</v>
      </c>
      <c r="Y11" s="4"/>
      <c r="Z11" s="4"/>
      <c r="AA11" s="4"/>
    </row>
    <row r="12" spans="1:27" x14ac:dyDescent="0.25">
      <c r="A12" s="7"/>
      <c r="B12" s="7"/>
      <c r="C12" s="7"/>
      <c r="D12" s="7"/>
      <c r="E12" s="4"/>
      <c r="F12" s="9">
        <v>6</v>
      </c>
      <c r="G12" s="10">
        <v>6</v>
      </c>
      <c r="H12" s="10">
        <v>2</v>
      </c>
      <c r="I12" s="17">
        <v>2.7649769585253458E-2</v>
      </c>
      <c r="J12" s="19">
        <v>5.417279435613085E-2</v>
      </c>
      <c r="K12" s="23">
        <v>0.33333333333333331</v>
      </c>
      <c r="L12" s="18">
        <v>5.6</v>
      </c>
      <c r="M12" s="24">
        <v>5</v>
      </c>
      <c r="N12" s="14">
        <v>2</v>
      </c>
      <c r="O12" s="10">
        <v>12</v>
      </c>
      <c r="P12" s="10">
        <v>1</v>
      </c>
      <c r="Q12" s="15">
        <v>43472</v>
      </c>
      <c r="R12" s="16">
        <v>43474</v>
      </c>
      <c r="S12">
        <v>6</v>
      </c>
      <c r="T12">
        <v>1</v>
      </c>
      <c r="U12" t="s">
        <v>54</v>
      </c>
      <c r="V12" t="s">
        <v>51</v>
      </c>
      <c r="W12" t="s">
        <v>55</v>
      </c>
      <c r="X12" t="s">
        <v>56</v>
      </c>
      <c r="Y12" s="4"/>
      <c r="Z12" s="4"/>
      <c r="AA12" s="4"/>
    </row>
    <row r="13" spans="1:27" x14ac:dyDescent="0.25">
      <c r="A13" s="7"/>
      <c r="B13" s="7"/>
      <c r="C13" s="7"/>
      <c r="D13" s="7"/>
      <c r="E13" s="4"/>
      <c r="F13" s="9">
        <v>7</v>
      </c>
      <c r="G13" s="10">
        <v>7</v>
      </c>
      <c r="H13" s="10">
        <v>3</v>
      </c>
      <c r="I13" s="11">
        <v>3.2258064516129031E-2</v>
      </c>
      <c r="J13" s="11">
        <v>0.15972400275074833</v>
      </c>
      <c r="K13" s="11">
        <v>0.5714285714285714</v>
      </c>
      <c r="L13" s="18">
        <v>4.666666666666667</v>
      </c>
      <c r="M13" s="13">
        <v>2</v>
      </c>
      <c r="N13" s="13">
        <v>3</v>
      </c>
      <c r="O13" s="10">
        <v>8</v>
      </c>
      <c r="P13" s="10">
        <v>3</v>
      </c>
      <c r="Q13" s="15">
        <v>43470</v>
      </c>
      <c r="R13" s="16">
        <v>43474</v>
      </c>
      <c r="S13">
        <v>7</v>
      </c>
      <c r="T13">
        <v>1</v>
      </c>
      <c r="U13" t="s">
        <v>50</v>
      </c>
      <c r="V13" t="s">
        <v>51</v>
      </c>
      <c r="W13" t="s">
        <v>55</v>
      </c>
      <c r="X13" t="s">
        <v>56</v>
      </c>
      <c r="Y13" s="4"/>
      <c r="Z13" s="4"/>
      <c r="AA13" s="4"/>
    </row>
    <row r="14" spans="1:27" x14ac:dyDescent="0.25">
      <c r="A14" s="7"/>
      <c r="B14" s="7"/>
      <c r="C14" s="7"/>
      <c r="D14" s="7"/>
      <c r="E14" s="4"/>
      <c r="F14" s="9">
        <v>8</v>
      </c>
      <c r="G14" s="10">
        <v>5</v>
      </c>
      <c r="H14" s="10">
        <v>2</v>
      </c>
      <c r="I14" s="23">
        <v>2.3041474654377881E-2</v>
      </c>
      <c r="J14" s="21">
        <v>8.8016331685328603E-2</v>
      </c>
      <c r="K14" s="17">
        <v>0.4</v>
      </c>
      <c r="L14" s="18">
        <v>6</v>
      </c>
      <c r="M14" s="18">
        <v>4</v>
      </c>
      <c r="N14" s="14">
        <v>2</v>
      </c>
      <c r="O14" s="10">
        <v>14</v>
      </c>
      <c r="P14" s="10">
        <v>2</v>
      </c>
      <c r="Q14" s="15">
        <v>43472</v>
      </c>
      <c r="R14" s="16">
        <v>43474</v>
      </c>
      <c r="S14">
        <v>8</v>
      </c>
      <c r="T14">
        <v>1</v>
      </c>
      <c r="U14" t="s">
        <v>54</v>
      </c>
      <c r="V14" t="s">
        <v>51</v>
      </c>
      <c r="W14" t="s">
        <v>55</v>
      </c>
      <c r="X14" t="s">
        <v>56</v>
      </c>
      <c r="Y14" s="4"/>
      <c r="Z14" s="4"/>
      <c r="AA14" s="4"/>
    </row>
    <row r="15" spans="1:27" x14ac:dyDescent="0.25">
      <c r="A15" s="7"/>
      <c r="B15" s="7"/>
      <c r="C15" s="7"/>
      <c r="D15" s="7"/>
      <c r="E15" s="4"/>
      <c r="F15" s="9">
        <v>9</v>
      </c>
      <c r="G15" s="10">
        <v>5</v>
      </c>
      <c r="H15" s="10">
        <v>7</v>
      </c>
      <c r="I15" s="23">
        <v>2.3041474654377881E-2</v>
      </c>
      <c r="J15" s="12">
        <v>4.9557317154574507E-7</v>
      </c>
      <c r="K15" s="12">
        <v>0</v>
      </c>
      <c r="L15" s="18">
        <v>6</v>
      </c>
      <c r="M15" s="13">
        <v>3</v>
      </c>
      <c r="N15" s="13">
        <v>4</v>
      </c>
      <c r="O15" s="10">
        <v>12</v>
      </c>
      <c r="P15" s="10">
        <v>3</v>
      </c>
      <c r="Q15" s="15">
        <v>43466</v>
      </c>
      <c r="R15" s="16">
        <v>43477</v>
      </c>
      <c r="S15">
        <v>9</v>
      </c>
      <c r="T15">
        <v>1</v>
      </c>
      <c r="U15" t="s">
        <v>50</v>
      </c>
      <c r="V15" t="s">
        <v>51</v>
      </c>
      <c r="W15" t="s">
        <v>55</v>
      </c>
      <c r="X15" t="s">
        <v>53</v>
      </c>
      <c r="Y15" s="4"/>
      <c r="Z15" s="4"/>
      <c r="AA15" s="4"/>
    </row>
    <row r="16" spans="1:27" x14ac:dyDescent="0.25">
      <c r="A16" s="7"/>
      <c r="B16" s="7"/>
      <c r="C16" s="7"/>
      <c r="D16" s="7"/>
      <c r="E16" s="4"/>
      <c r="F16" s="9">
        <v>10</v>
      </c>
      <c r="G16" s="10">
        <v>3</v>
      </c>
      <c r="H16" s="10">
        <v>3</v>
      </c>
      <c r="I16" s="21">
        <v>1.3824884792626729E-2</v>
      </c>
      <c r="J16" s="12">
        <v>1.4712126402079502E-2</v>
      </c>
      <c r="K16" s="23">
        <v>0.33333333333333331</v>
      </c>
      <c r="L16" s="22">
        <v>11.5</v>
      </c>
      <c r="M16" s="22">
        <v>8</v>
      </c>
      <c r="N16" s="22">
        <v>12</v>
      </c>
      <c r="O16" s="10">
        <v>20</v>
      </c>
      <c r="P16" s="10">
        <v>3</v>
      </c>
      <c r="Q16" s="15">
        <v>43470</v>
      </c>
      <c r="R16" s="16">
        <v>43474</v>
      </c>
      <c r="S16">
        <v>0</v>
      </c>
      <c r="T16">
        <v>2</v>
      </c>
      <c r="U16" t="s">
        <v>54</v>
      </c>
      <c r="V16" t="s">
        <v>51</v>
      </c>
      <c r="W16" t="s">
        <v>55</v>
      </c>
      <c r="X16" t="s">
        <v>56</v>
      </c>
      <c r="Y16" s="4"/>
      <c r="Z16" s="4"/>
      <c r="AA16" s="4"/>
    </row>
    <row r="17" spans="5:27" x14ac:dyDescent="0.25">
      <c r="E17" s="4"/>
      <c r="F17" s="9">
        <v>11</v>
      </c>
      <c r="G17" s="10">
        <v>1</v>
      </c>
      <c r="H17" s="10">
        <v>23</v>
      </c>
      <c r="I17" s="12">
        <v>4.608294930875576E-3</v>
      </c>
      <c r="J17" s="12">
        <v>0</v>
      </c>
      <c r="K17" s="12">
        <v>0</v>
      </c>
      <c r="L17" s="14">
        <v>0</v>
      </c>
      <c r="M17" s="14">
        <v>0</v>
      </c>
      <c r="N17" s="14">
        <v>0</v>
      </c>
      <c r="O17" s="10">
        <v>0</v>
      </c>
      <c r="P17" s="10">
        <v>0</v>
      </c>
      <c r="Q17" s="15">
        <v>43447</v>
      </c>
      <c r="R17" s="16">
        <v>43474</v>
      </c>
      <c r="S17">
        <v>1</v>
      </c>
      <c r="T17">
        <v>2</v>
      </c>
      <c r="U17" t="s">
        <v>50</v>
      </c>
      <c r="V17" t="s">
        <v>51</v>
      </c>
      <c r="W17" t="s">
        <v>55</v>
      </c>
      <c r="X17" t="s">
        <v>8</v>
      </c>
      <c r="Y17" s="4"/>
      <c r="Z17" s="4"/>
      <c r="AA17" s="4"/>
    </row>
    <row r="18" spans="5:27" x14ac:dyDescent="0.25">
      <c r="E18" s="4"/>
      <c r="F18" s="9">
        <v>12</v>
      </c>
      <c r="G18" s="10">
        <v>6</v>
      </c>
      <c r="H18" s="10">
        <v>4</v>
      </c>
      <c r="I18" s="17">
        <v>2.7649769585253458E-2</v>
      </c>
      <c r="J18" s="12">
        <v>5.3726193708655704E-3</v>
      </c>
      <c r="K18" s="19">
        <v>0.16666666666666666</v>
      </c>
      <c r="L18" s="18">
        <v>4.4000000000000004</v>
      </c>
      <c r="M18" s="13">
        <v>3</v>
      </c>
      <c r="N18" s="14">
        <v>1</v>
      </c>
      <c r="O18" s="10">
        <v>9</v>
      </c>
      <c r="P18" s="10">
        <v>1</v>
      </c>
      <c r="Q18" s="15">
        <v>43469</v>
      </c>
      <c r="R18" s="16">
        <v>43474</v>
      </c>
      <c r="S18">
        <v>2</v>
      </c>
      <c r="T18">
        <v>2</v>
      </c>
      <c r="U18" t="s">
        <v>54</v>
      </c>
      <c r="V18" t="s">
        <v>51</v>
      </c>
      <c r="W18" t="s">
        <v>55</v>
      </c>
      <c r="X18" t="s">
        <v>53</v>
      </c>
      <c r="Y18" s="4"/>
      <c r="Z18" s="4"/>
      <c r="AA18" s="4"/>
    </row>
    <row r="19" spans="5:27" x14ac:dyDescent="0.25">
      <c r="E19" s="4"/>
      <c r="F19" s="9">
        <v>13</v>
      </c>
      <c r="G19" s="10">
        <v>2</v>
      </c>
      <c r="H19" s="10">
        <v>9</v>
      </c>
      <c r="I19" s="19">
        <v>9.2165898617511521E-3</v>
      </c>
      <c r="J19" s="12">
        <v>0</v>
      </c>
      <c r="K19" s="12">
        <v>0</v>
      </c>
      <c r="L19" s="13">
        <v>4</v>
      </c>
      <c r="M19" s="14">
        <v>0</v>
      </c>
      <c r="N19" s="13">
        <v>4</v>
      </c>
      <c r="O19" s="10">
        <v>4</v>
      </c>
      <c r="P19" s="10">
        <v>4</v>
      </c>
      <c r="Q19" s="15">
        <v>43463</v>
      </c>
      <c r="R19" s="16">
        <v>43474</v>
      </c>
      <c r="S19">
        <v>3</v>
      </c>
      <c r="T19">
        <v>2</v>
      </c>
      <c r="U19" t="s">
        <v>50</v>
      </c>
      <c r="V19" t="s">
        <v>51</v>
      </c>
      <c r="W19" t="s">
        <v>55</v>
      </c>
      <c r="X19" t="s">
        <v>53</v>
      </c>
      <c r="Y19" s="4"/>
      <c r="Z19" s="4"/>
      <c r="AA19" s="4"/>
    </row>
    <row r="20" spans="5:27" x14ac:dyDescent="0.25">
      <c r="E20" s="4"/>
      <c r="F20" s="9">
        <v>14</v>
      </c>
      <c r="G20" s="10">
        <v>7</v>
      </c>
      <c r="H20" s="10">
        <v>7</v>
      </c>
      <c r="I20" s="11">
        <v>3.2258064516129031E-2</v>
      </c>
      <c r="J20" s="12">
        <v>4.8835433282359501E-7</v>
      </c>
      <c r="K20" s="19">
        <v>0.14285714285714285</v>
      </c>
      <c r="L20" s="13">
        <v>3.8333333333333335</v>
      </c>
      <c r="M20" s="13">
        <v>2</v>
      </c>
      <c r="N20" s="14">
        <v>2</v>
      </c>
      <c r="O20" s="10">
        <v>7</v>
      </c>
      <c r="P20" s="10">
        <v>1</v>
      </c>
      <c r="Q20" s="15">
        <v>43466</v>
      </c>
      <c r="R20" s="16">
        <v>43474</v>
      </c>
      <c r="S20">
        <v>4</v>
      </c>
      <c r="T20">
        <v>2</v>
      </c>
      <c r="U20" t="s">
        <v>54</v>
      </c>
      <c r="V20" t="s">
        <v>51</v>
      </c>
      <c r="W20" t="s">
        <v>55</v>
      </c>
      <c r="X20" t="s">
        <v>53</v>
      </c>
      <c r="Y20" s="4"/>
      <c r="Z20" s="4"/>
      <c r="AA20" s="4"/>
    </row>
    <row r="21" spans="5:27" x14ac:dyDescent="0.25">
      <c r="E21" s="4"/>
      <c r="F21" s="9">
        <v>15</v>
      </c>
      <c r="G21" s="10">
        <v>2</v>
      </c>
      <c r="H21" s="10">
        <v>15</v>
      </c>
      <c r="I21" s="19">
        <v>9.2165898617511521E-3</v>
      </c>
      <c r="J21" s="12">
        <v>0</v>
      </c>
      <c r="K21" s="12">
        <v>0</v>
      </c>
      <c r="L21" s="14">
        <v>2</v>
      </c>
      <c r="M21" s="14">
        <v>0</v>
      </c>
      <c r="N21" s="14">
        <v>2</v>
      </c>
      <c r="O21" s="10">
        <v>2</v>
      </c>
      <c r="P21" s="10">
        <v>2</v>
      </c>
      <c r="Q21" s="15">
        <v>43456</v>
      </c>
      <c r="R21" s="16">
        <v>43474</v>
      </c>
      <c r="S21">
        <v>5</v>
      </c>
      <c r="T21">
        <v>2</v>
      </c>
      <c r="U21" t="s">
        <v>50</v>
      </c>
      <c r="V21" t="s">
        <v>51</v>
      </c>
      <c r="W21" t="s">
        <v>55</v>
      </c>
      <c r="X21" t="s">
        <v>8</v>
      </c>
      <c r="Y21" s="4"/>
      <c r="Z21" s="4"/>
      <c r="AA21" s="4"/>
    </row>
    <row r="22" spans="5:27" x14ac:dyDescent="0.25">
      <c r="E22" s="4"/>
      <c r="F22" s="9">
        <v>16</v>
      </c>
      <c r="G22" s="10">
        <v>5</v>
      </c>
      <c r="H22" s="10">
        <v>3</v>
      </c>
      <c r="I22" s="23">
        <v>2.3041474654377881E-2</v>
      </c>
      <c r="J22" s="19">
        <v>4.5662271344274349E-2</v>
      </c>
      <c r="K22" s="12">
        <v>0</v>
      </c>
      <c r="L22" s="24">
        <v>7</v>
      </c>
      <c r="M22" s="18">
        <v>4</v>
      </c>
      <c r="N22" s="24">
        <v>7</v>
      </c>
      <c r="O22" s="10">
        <v>12</v>
      </c>
      <c r="P22" s="10">
        <v>2</v>
      </c>
      <c r="Q22" s="15">
        <v>43470</v>
      </c>
      <c r="R22" s="16">
        <v>43474</v>
      </c>
      <c r="S22">
        <v>6</v>
      </c>
      <c r="T22">
        <v>2</v>
      </c>
      <c r="U22" t="s">
        <v>54</v>
      </c>
      <c r="V22" t="s">
        <v>51</v>
      </c>
      <c r="W22" t="s">
        <v>55</v>
      </c>
      <c r="X22" t="s">
        <v>56</v>
      </c>
      <c r="Y22" s="4"/>
      <c r="Z22" s="4"/>
      <c r="AA22" s="4"/>
    </row>
    <row r="23" spans="5:27" x14ac:dyDescent="0.25">
      <c r="E23" s="4"/>
      <c r="F23" s="9">
        <v>17</v>
      </c>
      <c r="G23" s="10">
        <v>8</v>
      </c>
      <c r="H23" s="10">
        <v>10</v>
      </c>
      <c r="I23" s="11">
        <v>3.6866359447004608E-2</v>
      </c>
      <c r="J23" s="12">
        <v>4.083117815568203E-17</v>
      </c>
      <c r="K23" s="12">
        <v>0</v>
      </c>
      <c r="L23" s="13">
        <v>3</v>
      </c>
      <c r="M23" s="13">
        <v>2</v>
      </c>
      <c r="N23" s="14">
        <v>2</v>
      </c>
      <c r="O23" s="10">
        <v>7</v>
      </c>
      <c r="P23" s="10">
        <v>1</v>
      </c>
      <c r="Q23" s="15">
        <v>43462</v>
      </c>
      <c r="R23" s="16">
        <v>43474</v>
      </c>
      <c r="S23">
        <v>7</v>
      </c>
      <c r="T23">
        <v>2</v>
      </c>
      <c r="U23" t="s">
        <v>50</v>
      </c>
      <c r="V23" t="s">
        <v>51</v>
      </c>
      <c r="W23" t="s">
        <v>55</v>
      </c>
      <c r="X23" t="s">
        <v>8</v>
      </c>
      <c r="Y23" s="4"/>
      <c r="Z23" s="4"/>
      <c r="AA23" s="4"/>
    </row>
    <row r="24" spans="5:27" x14ac:dyDescent="0.25">
      <c r="E24" s="4"/>
      <c r="F24" s="9">
        <v>18</v>
      </c>
      <c r="G24" s="10">
        <v>4</v>
      </c>
      <c r="H24" s="10">
        <v>12</v>
      </c>
      <c r="I24" s="21">
        <v>1.8433179723502304E-2</v>
      </c>
      <c r="J24" s="12">
        <v>2.0088533965333394E-22</v>
      </c>
      <c r="K24" s="12">
        <v>0</v>
      </c>
      <c r="L24" s="18">
        <v>4.333333333333333</v>
      </c>
      <c r="M24" s="13">
        <v>2</v>
      </c>
      <c r="N24" s="13">
        <v>3</v>
      </c>
      <c r="O24" s="10">
        <v>8</v>
      </c>
      <c r="P24" s="10">
        <v>2</v>
      </c>
      <c r="Q24" s="15">
        <v>43460</v>
      </c>
      <c r="R24" s="16">
        <v>43474</v>
      </c>
      <c r="S24">
        <v>8</v>
      </c>
      <c r="T24">
        <v>2</v>
      </c>
      <c r="U24" t="s">
        <v>54</v>
      </c>
      <c r="V24" t="s">
        <v>51</v>
      </c>
      <c r="W24" t="s">
        <v>55</v>
      </c>
      <c r="X24" t="s">
        <v>8</v>
      </c>
      <c r="Y24" s="4"/>
      <c r="Z24" s="4"/>
      <c r="AA24" s="4"/>
    </row>
    <row r="25" spans="5:27" x14ac:dyDescent="0.25">
      <c r="E25" s="4"/>
      <c r="F25" s="9">
        <v>19</v>
      </c>
      <c r="G25" s="10">
        <v>4</v>
      </c>
      <c r="H25" s="10">
        <v>1</v>
      </c>
      <c r="I25" s="21">
        <v>1.8433179723502304E-2</v>
      </c>
      <c r="J25" s="19">
        <v>4.5662271344274349E-2</v>
      </c>
      <c r="K25" s="12">
        <v>0</v>
      </c>
      <c r="L25" s="20">
        <v>9</v>
      </c>
      <c r="M25" s="18">
        <v>4</v>
      </c>
      <c r="N25" s="20">
        <v>10</v>
      </c>
      <c r="O25" s="10">
        <v>14</v>
      </c>
      <c r="P25" s="10">
        <v>3</v>
      </c>
      <c r="Q25" s="15">
        <v>43473</v>
      </c>
      <c r="R25" s="16">
        <v>43475</v>
      </c>
      <c r="S25">
        <v>9</v>
      </c>
      <c r="T25">
        <v>2</v>
      </c>
      <c r="U25" t="s">
        <v>50</v>
      </c>
      <c r="V25" t="s">
        <v>51</v>
      </c>
      <c r="W25" t="s">
        <v>55</v>
      </c>
      <c r="X25" t="s">
        <v>56</v>
      </c>
      <c r="Y25" s="4"/>
      <c r="Z25" s="4"/>
      <c r="AA25" s="4"/>
    </row>
    <row r="26" spans="5:27" x14ac:dyDescent="0.25">
      <c r="E26" s="4"/>
      <c r="F26" s="9">
        <v>20</v>
      </c>
      <c r="G26" s="10">
        <v>3</v>
      </c>
      <c r="H26" s="10">
        <v>3</v>
      </c>
      <c r="I26" s="21">
        <v>1.3824884792626729E-2</v>
      </c>
      <c r="J26" s="23">
        <v>9.6667029194401261E-2</v>
      </c>
      <c r="K26" s="12">
        <v>0</v>
      </c>
      <c r="L26" s="22">
        <v>11</v>
      </c>
      <c r="M26" s="18">
        <v>4</v>
      </c>
      <c r="N26" s="22">
        <v>11</v>
      </c>
      <c r="O26" s="10">
        <v>15</v>
      </c>
      <c r="P26" s="10">
        <v>7</v>
      </c>
      <c r="Q26" s="15">
        <v>43470</v>
      </c>
      <c r="R26" s="16">
        <v>43477</v>
      </c>
      <c r="S26">
        <v>0</v>
      </c>
      <c r="T26">
        <v>3</v>
      </c>
      <c r="U26" t="s">
        <v>54</v>
      </c>
      <c r="V26" t="s">
        <v>51</v>
      </c>
      <c r="W26" t="s">
        <v>52</v>
      </c>
      <c r="X26" t="s">
        <v>56</v>
      </c>
      <c r="Y26" s="4"/>
      <c r="Z26" s="4"/>
      <c r="AA26" s="4"/>
    </row>
    <row r="27" spans="5:27" x14ac:dyDescent="0.25">
      <c r="E27" s="4"/>
      <c r="F27" s="9">
        <v>21</v>
      </c>
      <c r="G27" s="10">
        <v>4</v>
      </c>
      <c r="H27" s="10">
        <v>9</v>
      </c>
      <c r="I27" s="21">
        <v>1.8433179723502304E-2</v>
      </c>
      <c r="J27" s="12">
        <v>2.094855182410655E-13</v>
      </c>
      <c r="K27" s="12">
        <v>0</v>
      </c>
      <c r="L27" s="24">
        <v>6.666666666666667</v>
      </c>
      <c r="M27" s="18">
        <v>4</v>
      </c>
      <c r="N27" s="13">
        <v>4</v>
      </c>
      <c r="O27" s="10">
        <v>13</v>
      </c>
      <c r="P27" s="10">
        <v>3</v>
      </c>
      <c r="Q27" s="15">
        <v>43463</v>
      </c>
      <c r="R27" s="16">
        <v>43475</v>
      </c>
      <c r="S27">
        <v>1</v>
      </c>
      <c r="T27">
        <v>3</v>
      </c>
      <c r="U27" t="s">
        <v>50</v>
      </c>
      <c r="V27" t="s">
        <v>51</v>
      </c>
      <c r="W27" t="s">
        <v>55</v>
      </c>
      <c r="X27" t="s">
        <v>53</v>
      </c>
      <c r="Y27" s="4"/>
      <c r="Z27" s="4"/>
      <c r="AA27" s="4"/>
    </row>
    <row r="28" spans="5:27" x14ac:dyDescent="0.25">
      <c r="E28" s="4"/>
      <c r="F28" s="9">
        <v>22</v>
      </c>
      <c r="G28" s="10">
        <v>2</v>
      </c>
      <c r="H28" s="10">
        <v>23</v>
      </c>
      <c r="I28" s="19">
        <v>9.2165898617511521E-3</v>
      </c>
      <c r="J28" s="12">
        <v>0</v>
      </c>
      <c r="K28" s="12">
        <v>0</v>
      </c>
      <c r="L28" s="13">
        <v>3</v>
      </c>
      <c r="M28" s="14">
        <v>0</v>
      </c>
      <c r="N28" s="13">
        <v>3</v>
      </c>
      <c r="O28" s="10">
        <v>3</v>
      </c>
      <c r="P28" s="10">
        <v>3</v>
      </c>
      <c r="Q28" s="15">
        <v>43447</v>
      </c>
      <c r="R28" s="16">
        <v>43474</v>
      </c>
      <c r="S28">
        <v>2</v>
      </c>
      <c r="T28">
        <v>3</v>
      </c>
      <c r="U28" t="s">
        <v>54</v>
      </c>
      <c r="V28" t="s">
        <v>51</v>
      </c>
      <c r="W28" t="s">
        <v>55</v>
      </c>
      <c r="X28" t="s">
        <v>8</v>
      </c>
      <c r="Y28" s="4"/>
      <c r="Z28" s="4"/>
      <c r="AA28" s="4"/>
    </row>
    <row r="29" spans="5:27" x14ac:dyDescent="0.25">
      <c r="E29" s="4"/>
      <c r="F29" s="9">
        <v>23</v>
      </c>
      <c r="G29" s="10">
        <v>5</v>
      </c>
      <c r="H29" s="10">
        <v>4</v>
      </c>
      <c r="I29" s="23">
        <v>2.3041474654377881E-2</v>
      </c>
      <c r="J29" s="12">
        <v>4.7275112511704579E-3</v>
      </c>
      <c r="K29" s="12">
        <v>0</v>
      </c>
      <c r="L29" s="18">
        <v>4.25</v>
      </c>
      <c r="M29" s="13">
        <v>3</v>
      </c>
      <c r="N29" s="13">
        <v>4</v>
      </c>
      <c r="O29" s="10">
        <v>8</v>
      </c>
      <c r="P29" s="10">
        <v>1</v>
      </c>
      <c r="Q29" s="15">
        <v>43469</v>
      </c>
      <c r="R29" s="16">
        <v>43475</v>
      </c>
      <c r="S29">
        <v>3</v>
      </c>
      <c r="T29">
        <v>3</v>
      </c>
      <c r="U29" t="s">
        <v>50</v>
      </c>
      <c r="V29" t="s">
        <v>51</v>
      </c>
      <c r="W29" t="s">
        <v>55</v>
      </c>
      <c r="X29" t="s">
        <v>53</v>
      </c>
      <c r="Y29" s="4"/>
      <c r="Z29" s="4"/>
      <c r="AA29" s="4"/>
    </row>
    <row r="30" spans="5:27" x14ac:dyDescent="0.25">
      <c r="E30" s="4"/>
      <c r="F30" s="9">
        <v>24</v>
      </c>
      <c r="G30" s="10">
        <v>1</v>
      </c>
      <c r="H30" s="10">
        <v>27</v>
      </c>
      <c r="I30" s="12">
        <v>4.608294930875576E-3</v>
      </c>
      <c r="J30" s="12">
        <v>0</v>
      </c>
      <c r="K30" s="12">
        <v>0</v>
      </c>
      <c r="L30" s="14">
        <v>0</v>
      </c>
      <c r="M30" s="14">
        <v>0</v>
      </c>
      <c r="N30" s="14">
        <v>0</v>
      </c>
      <c r="O30" s="10">
        <v>0</v>
      </c>
      <c r="P30" s="10">
        <v>0</v>
      </c>
      <c r="Q30" s="15">
        <v>43442</v>
      </c>
      <c r="R30" s="16">
        <v>43474</v>
      </c>
      <c r="S30">
        <v>4</v>
      </c>
      <c r="T30">
        <v>3</v>
      </c>
      <c r="U30" t="s">
        <v>54</v>
      </c>
      <c r="V30" t="s">
        <v>51</v>
      </c>
      <c r="W30" t="s">
        <v>55</v>
      </c>
      <c r="X30" t="s">
        <v>8</v>
      </c>
      <c r="Y30" s="4"/>
      <c r="Z30" s="4"/>
      <c r="AA30" s="4"/>
    </row>
    <row r="31" spans="5:27" x14ac:dyDescent="0.25">
      <c r="E31" s="4"/>
      <c r="F31" s="9">
        <v>25</v>
      </c>
      <c r="G31" s="10">
        <v>5</v>
      </c>
      <c r="H31" s="10">
        <v>1</v>
      </c>
      <c r="I31" s="23">
        <v>2.3041474654377881E-2</v>
      </c>
      <c r="J31" s="21">
        <v>6.7332895180290356E-2</v>
      </c>
      <c r="K31" s="12">
        <v>0</v>
      </c>
      <c r="L31" s="24">
        <v>6.5</v>
      </c>
      <c r="M31" s="13">
        <v>3</v>
      </c>
      <c r="N31" s="24">
        <v>7</v>
      </c>
      <c r="O31" s="10">
        <v>10</v>
      </c>
      <c r="P31" s="10">
        <v>2</v>
      </c>
      <c r="Q31" s="15">
        <v>43473</v>
      </c>
      <c r="R31" s="16">
        <v>43474</v>
      </c>
      <c r="S31">
        <v>5</v>
      </c>
      <c r="T31">
        <v>3</v>
      </c>
      <c r="U31" t="s">
        <v>50</v>
      </c>
      <c r="V31" t="s">
        <v>57</v>
      </c>
      <c r="W31" t="s">
        <v>55</v>
      </c>
      <c r="X31" t="s">
        <v>56</v>
      </c>
      <c r="Y31" s="4"/>
      <c r="Z31" s="4"/>
      <c r="AA31" s="4"/>
    </row>
    <row r="32" spans="5:27" x14ac:dyDescent="0.25">
      <c r="E32" s="4"/>
      <c r="F32" s="9">
        <v>26</v>
      </c>
      <c r="G32" s="10">
        <v>0</v>
      </c>
      <c r="H32" s="10">
        <v>2272</v>
      </c>
      <c r="I32" s="12">
        <v>0</v>
      </c>
      <c r="J32" s="12">
        <v>0</v>
      </c>
      <c r="K32" s="12">
        <v>0</v>
      </c>
      <c r="L32" s="14">
        <v>0</v>
      </c>
      <c r="M32" s="14">
        <v>0</v>
      </c>
      <c r="N32" s="14">
        <v>0</v>
      </c>
      <c r="O32" s="10">
        <v>0</v>
      </c>
      <c r="P32" s="10">
        <v>0</v>
      </c>
      <c r="Q32" s="15">
        <v>0</v>
      </c>
      <c r="R32" s="16">
        <v>43474</v>
      </c>
      <c r="S32">
        <v>6</v>
      </c>
      <c r="T32">
        <v>3</v>
      </c>
      <c r="U32" t="s">
        <v>54</v>
      </c>
      <c r="V32" t="s">
        <v>57</v>
      </c>
      <c r="W32" t="s">
        <v>55</v>
      </c>
      <c r="X32" t="s">
        <v>8</v>
      </c>
      <c r="Y32" s="4"/>
      <c r="Z32" s="4"/>
      <c r="AA32" s="4"/>
    </row>
    <row r="33" spans="5:27" x14ac:dyDescent="0.25">
      <c r="E33" s="4"/>
      <c r="F33" s="9">
        <v>27</v>
      </c>
      <c r="G33" s="10">
        <v>6</v>
      </c>
      <c r="H33" s="10">
        <v>7</v>
      </c>
      <c r="I33" s="17">
        <v>2.7649769585253458E-2</v>
      </c>
      <c r="J33" s="12">
        <v>1.3582969232798848E-2</v>
      </c>
      <c r="K33" s="19">
        <v>0.16666666666666666</v>
      </c>
      <c r="L33" s="18">
        <v>4.4000000000000004</v>
      </c>
      <c r="M33" s="14">
        <v>1</v>
      </c>
      <c r="N33" s="13">
        <v>3</v>
      </c>
      <c r="O33" s="10">
        <v>7</v>
      </c>
      <c r="P33" s="10">
        <v>3</v>
      </c>
      <c r="Q33" s="15">
        <v>43466</v>
      </c>
      <c r="R33" s="16">
        <v>43474</v>
      </c>
      <c r="S33">
        <v>7</v>
      </c>
      <c r="T33">
        <v>3</v>
      </c>
      <c r="U33" t="s">
        <v>50</v>
      </c>
      <c r="V33" t="s">
        <v>57</v>
      </c>
      <c r="W33" t="s">
        <v>55</v>
      </c>
      <c r="X33" t="s">
        <v>53</v>
      </c>
      <c r="Y33" s="4"/>
      <c r="Z33" s="4"/>
      <c r="AA33" s="4"/>
    </row>
    <row r="34" spans="5:27" x14ac:dyDescent="0.25">
      <c r="E34" s="4"/>
      <c r="F34" s="9">
        <v>28</v>
      </c>
      <c r="G34" s="10">
        <v>7</v>
      </c>
      <c r="H34" s="10">
        <v>3</v>
      </c>
      <c r="I34" s="11">
        <v>3.2258064516129031E-2</v>
      </c>
      <c r="J34" s="11">
        <v>0.15056871606757211</v>
      </c>
      <c r="K34" s="12">
        <v>0</v>
      </c>
      <c r="L34" s="18">
        <v>4.5</v>
      </c>
      <c r="M34" s="13">
        <v>2</v>
      </c>
      <c r="N34" s="13">
        <v>4</v>
      </c>
      <c r="O34" s="10">
        <v>10</v>
      </c>
      <c r="P34" s="10">
        <v>1</v>
      </c>
      <c r="Q34" s="15">
        <v>43470</v>
      </c>
      <c r="R34" s="16">
        <v>43474</v>
      </c>
      <c r="S34">
        <v>8</v>
      </c>
      <c r="T34">
        <v>3</v>
      </c>
      <c r="U34" t="s">
        <v>54</v>
      </c>
      <c r="V34" t="s">
        <v>57</v>
      </c>
      <c r="W34" t="s">
        <v>55</v>
      </c>
      <c r="X34" t="s">
        <v>56</v>
      </c>
      <c r="Y34" s="4"/>
      <c r="Z34" s="4"/>
      <c r="AA34" s="4"/>
    </row>
    <row r="35" spans="5:27" x14ac:dyDescent="0.25">
      <c r="E35" s="4"/>
      <c r="F35" s="9">
        <v>29</v>
      </c>
      <c r="G35" s="10">
        <v>5</v>
      </c>
      <c r="H35" s="10">
        <v>10</v>
      </c>
      <c r="I35" s="23">
        <v>2.3041474654377881E-2</v>
      </c>
      <c r="J35" s="12">
        <v>2.3632759703214232E-18</v>
      </c>
      <c r="K35" s="12">
        <v>0</v>
      </c>
      <c r="L35" s="18">
        <v>5</v>
      </c>
      <c r="M35" s="18">
        <v>4</v>
      </c>
      <c r="N35" s="13">
        <v>3</v>
      </c>
      <c r="O35" s="10">
        <v>13</v>
      </c>
      <c r="P35" s="10">
        <v>1</v>
      </c>
      <c r="Q35" s="15">
        <v>43462</v>
      </c>
      <c r="R35" s="16">
        <v>43474</v>
      </c>
      <c r="S35">
        <v>9</v>
      </c>
      <c r="T35">
        <v>3</v>
      </c>
      <c r="U35" t="s">
        <v>50</v>
      </c>
      <c r="V35" t="s">
        <v>57</v>
      </c>
      <c r="W35" t="s">
        <v>55</v>
      </c>
      <c r="X35" t="s">
        <v>8</v>
      </c>
      <c r="Y35" s="4"/>
      <c r="Z35" s="4"/>
      <c r="AA35" s="4"/>
    </row>
    <row r="36" spans="5:27" x14ac:dyDescent="0.25">
      <c r="E36" s="4"/>
      <c r="F36" s="9">
        <v>30</v>
      </c>
      <c r="G36" s="10">
        <v>6</v>
      </c>
      <c r="H36" s="10">
        <v>1</v>
      </c>
      <c r="I36" s="17">
        <v>2.7649769585253458E-2</v>
      </c>
      <c r="J36" s="23">
        <v>0.10162764231353746</v>
      </c>
      <c r="K36" s="19">
        <v>0.16666666666666666</v>
      </c>
      <c r="L36" s="18">
        <v>5.2</v>
      </c>
      <c r="M36" s="13">
        <v>3</v>
      </c>
      <c r="N36" s="20">
        <v>9</v>
      </c>
      <c r="O36" s="10">
        <v>9</v>
      </c>
      <c r="P36" s="10">
        <v>1</v>
      </c>
      <c r="Q36" s="15">
        <v>43473</v>
      </c>
      <c r="R36" s="25">
        <v>43482</v>
      </c>
      <c r="S36">
        <v>0</v>
      </c>
      <c r="T36">
        <v>4</v>
      </c>
      <c r="U36" t="s">
        <v>54</v>
      </c>
      <c r="V36" t="s">
        <v>57</v>
      </c>
      <c r="W36" t="s">
        <v>52</v>
      </c>
      <c r="X36" t="s">
        <v>56</v>
      </c>
      <c r="Y36" s="4"/>
      <c r="Z36" s="4"/>
      <c r="AA36" s="4"/>
    </row>
    <row r="37" spans="5:27" x14ac:dyDescent="0.25">
      <c r="E37" s="4"/>
      <c r="F37" s="9">
        <v>31</v>
      </c>
      <c r="G37" s="10">
        <v>4</v>
      </c>
      <c r="H37" s="10">
        <v>1</v>
      </c>
      <c r="I37" s="21">
        <v>1.8433179723502304E-2</v>
      </c>
      <c r="J37" s="21">
        <v>6.3889601100299315E-2</v>
      </c>
      <c r="K37" s="12">
        <v>0</v>
      </c>
      <c r="L37" s="24">
        <v>8.3333333333333339</v>
      </c>
      <c r="M37" s="24">
        <v>5</v>
      </c>
      <c r="N37" s="24">
        <v>7</v>
      </c>
      <c r="O37" s="10">
        <v>16</v>
      </c>
      <c r="P37" s="10">
        <v>2</v>
      </c>
      <c r="Q37" s="15">
        <v>43473</v>
      </c>
      <c r="R37" s="16">
        <v>43474</v>
      </c>
      <c r="S37">
        <v>1</v>
      </c>
      <c r="T37">
        <v>4</v>
      </c>
      <c r="U37" t="s">
        <v>50</v>
      </c>
      <c r="V37" t="s">
        <v>57</v>
      </c>
      <c r="W37" t="s">
        <v>55</v>
      </c>
      <c r="X37" t="s">
        <v>56</v>
      </c>
      <c r="Y37" s="4"/>
      <c r="Z37" s="4"/>
      <c r="AA37" s="4"/>
    </row>
    <row r="38" spans="5:27" x14ac:dyDescent="0.25">
      <c r="E38" s="4"/>
      <c r="F38" s="9">
        <v>32</v>
      </c>
      <c r="G38" s="10">
        <v>2</v>
      </c>
      <c r="H38" s="10">
        <v>7</v>
      </c>
      <c r="I38" s="19">
        <v>9.2165898617511521E-3</v>
      </c>
      <c r="J38" s="12">
        <v>0</v>
      </c>
      <c r="K38" s="12">
        <v>0</v>
      </c>
      <c r="L38" s="22">
        <v>12</v>
      </c>
      <c r="M38" s="14">
        <v>0</v>
      </c>
      <c r="N38" s="22">
        <v>12</v>
      </c>
      <c r="O38" s="10">
        <v>12</v>
      </c>
      <c r="P38" s="10">
        <v>12</v>
      </c>
      <c r="Q38" s="15">
        <v>43466</v>
      </c>
      <c r="R38" s="16">
        <v>43477</v>
      </c>
      <c r="S38">
        <v>2</v>
      </c>
      <c r="T38">
        <v>4</v>
      </c>
      <c r="U38" t="s">
        <v>54</v>
      </c>
      <c r="V38" t="s">
        <v>57</v>
      </c>
      <c r="W38" t="s">
        <v>52</v>
      </c>
      <c r="X38" t="s">
        <v>53</v>
      </c>
      <c r="Y38" s="4"/>
      <c r="Z38" s="4"/>
      <c r="AA38" s="4"/>
    </row>
    <row r="39" spans="5:27" x14ac:dyDescent="0.25">
      <c r="E39" s="4"/>
      <c r="F39" s="9">
        <v>33</v>
      </c>
      <c r="G39" s="10">
        <v>4</v>
      </c>
      <c r="H39" s="10">
        <v>16</v>
      </c>
      <c r="I39" s="21">
        <v>1.8433179723502304E-2</v>
      </c>
      <c r="J39" s="12">
        <v>3.7187927013879078E-34</v>
      </c>
      <c r="K39" s="12">
        <v>0</v>
      </c>
      <c r="L39" s="13">
        <v>3.6666666666666665</v>
      </c>
      <c r="M39" s="14">
        <v>1</v>
      </c>
      <c r="N39" s="13">
        <v>4</v>
      </c>
      <c r="O39" s="10">
        <v>5</v>
      </c>
      <c r="P39" s="10">
        <v>2</v>
      </c>
      <c r="Q39" s="15">
        <v>43455</v>
      </c>
      <c r="R39" s="16">
        <v>43474</v>
      </c>
      <c r="S39">
        <v>3</v>
      </c>
      <c r="T39">
        <v>4</v>
      </c>
      <c r="U39" t="s">
        <v>50</v>
      </c>
      <c r="V39" t="s">
        <v>57</v>
      </c>
      <c r="W39" t="s">
        <v>55</v>
      </c>
      <c r="X39" t="s">
        <v>8</v>
      </c>
      <c r="Y39" s="4"/>
      <c r="Z39" s="4"/>
      <c r="AA39" s="4"/>
    </row>
    <row r="40" spans="5:27" x14ac:dyDescent="0.25">
      <c r="E40" s="4"/>
      <c r="F40" s="9">
        <v>34</v>
      </c>
      <c r="G40" s="10">
        <v>6</v>
      </c>
      <c r="H40" s="10">
        <v>5</v>
      </c>
      <c r="I40" s="17">
        <v>2.7649769585253458E-2</v>
      </c>
      <c r="J40" s="12">
        <v>5.2104674068711226E-3</v>
      </c>
      <c r="K40" s="19">
        <v>0.16666666666666666</v>
      </c>
      <c r="L40" s="18">
        <v>4.5999999999999996</v>
      </c>
      <c r="M40" s="13">
        <v>2</v>
      </c>
      <c r="N40" s="13">
        <v>4</v>
      </c>
      <c r="O40" s="10">
        <v>10</v>
      </c>
      <c r="P40" s="10">
        <v>1</v>
      </c>
      <c r="Q40" s="15">
        <v>43468</v>
      </c>
      <c r="R40" s="16">
        <v>43474</v>
      </c>
      <c r="S40">
        <v>4</v>
      </c>
      <c r="T40">
        <v>4</v>
      </c>
      <c r="U40" t="s">
        <v>54</v>
      </c>
      <c r="V40" t="s">
        <v>57</v>
      </c>
      <c r="W40" t="s">
        <v>55</v>
      </c>
      <c r="X40" t="s">
        <v>53</v>
      </c>
      <c r="Y40" s="4"/>
      <c r="Z40" s="4"/>
      <c r="AA40" s="4"/>
    </row>
    <row r="41" spans="5:27" x14ac:dyDescent="0.25">
      <c r="E41" s="4"/>
      <c r="F41" s="9">
        <v>35</v>
      </c>
      <c r="G41" s="10">
        <v>4</v>
      </c>
      <c r="H41" s="10">
        <v>5</v>
      </c>
      <c r="I41" s="21">
        <v>1.8433179723502304E-2</v>
      </c>
      <c r="J41" s="12">
        <v>8.764150246212089E-3</v>
      </c>
      <c r="K41" s="21">
        <v>0.25</v>
      </c>
      <c r="L41" s="18">
        <v>5</v>
      </c>
      <c r="M41" s="13">
        <v>2</v>
      </c>
      <c r="N41" s="18">
        <v>5</v>
      </c>
      <c r="O41" s="10">
        <v>8</v>
      </c>
      <c r="P41" s="10">
        <v>2</v>
      </c>
      <c r="Q41" s="15">
        <v>43468</v>
      </c>
      <c r="R41" s="16">
        <v>43474</v>
      </c>
      <c r="S41">
        <v>5</v>
      </c>
      <c r="T41">
        <v>4</v>
      </c>
      <c r="U41" t="s">
        <v>50</v>
      </c>
      <c r="V41" t="s">
        <v>57</v>
      </c>
      <c r="W41" t="s">
        <v>55</v>
      </c>
      <c r="X41" t="s">
        <v>53</v>
      </c>
      <c r="Y41" s="4"/>
      <c r="Z41" s="4"/>
      <c r="AA41" s="4"/>
    </row>
    <row r="42" spans="5:27" x14ac:dyDescent="0.25">
      <c r="E42" s="4"/>
      <c r="F42" s="9">
        <v>36</v>
      </c>
      <c r="G42" s="10">
        <v>3</v>
      </c>
      <c r="H42" s="10">
        <v>15</v>
      </c>
      <c r="I42" s="21">
        <v>1.3824884792626729E-2</v>
      </c>
      <c r="J42" s="12">
        <v>6.5642088026484602E-29</v>
      </c>
      <c r="K42" s="12">
        <v>0</v>
      </c>
      <c r="L42" s="24">
        <v>7.5</v>
      </c>
      <c r="M42" s="13">
        <v>2</v>
      </c>
      <c r="N42" s="24">
        <v>8</v>
      </c>
      <c r="O42" s="10">
        <v>9</v>
      </c>
      <c r="P42" s="10">
        <v>6</v>
      </c>
      <c r="Q42" s="15">
        <v>43456</v>
      </c>
      <c r="R42" s="16">
        <v>43474</v>
      </c>
      <c r="S42">
        <v>6</v>
      </c>
      <c r="T42">
        <v>4</v>
      </c>
      <c r="U42" t="s">
        <v>54</v>
      </c>
      <c r="V42" t="s">
        <v>57</v>
      </c>
      <c r="W42" t="s">
        <v>52</v>
      </c>
      <c r="X42" t="s">
        <v>8</v>
      </c>
      <c r="Y42" s="4"/>
      <c r="Z42" s="4"/>
      <c r="AA42" s="4"/>
    </row>
    <row r="43" spans="5:27" x14ac:dyDescent="0.25">
      <c r="E43" s="4"/>
      <c r="F43" s="9">
        <v>37</v>
      </c>
      <c r="G43" s="10">
        <v>8</v>
      </c>
      <c r="H43" s="10">
        <v>10</v>
      </c>
      <c r="I43" s="11">
        <v>3.6866359447004608E-2</v>
      </c>
      <c r="J43" s="12">
        <v>2.219244870323986E-17</v>
      </c>
      <c r="K43" s="12">
        <v>0</v>
      </c>
      <c r="L43" s="13">
        <v>2.8571428571428572</v>
      </c>
      <c r="M43" s="13">
        <v>2</v>
      </c>
      <c r="N43" s="14">
        <v>1</v>
      </c>
      <c r="O43" s="10">
        <v>6</v>
      </c>
      <c r="P43" s="10">
        <v>1</v>
      </c>
      <c r="Q43" s="15">
        <v>43462</v>
      </c>
      <c r="R43" s="16">
        <v>43474</v>
      </c>
      <c r="S43">
        <v>7</v>
      </c>
      <c r="T43">
        <v>4</v>
      </c>
      <c r="U43" t="s">
        <v>50</v>
      </c>
      <c r="V43" t="s">
        <v>57</v>
      </c>
      <c r="W43" t="s">
        <v>55</v>
      </c>
      <c r="X43" t="s">
        <v>8</v>
      </c>
      <c r="Y43" s="4"/>
      <c r="Z43" s="4"/>
      <c r="AA43" s="4"/>
    </row>
    <row r="44" spans="5:27" x14ac:dyDescent="0.25">
      <c r="E44" s="4"/>
      <c r="F44" s="9">
        <v>38</v>
      </c>
      <c r="G44" s="10">
        <v>3</v>
      </c>
      <c r="H44" s="10">
        <v>2</v>
      </c>
      <c r="I44" s="21">
        <v>1.3824884792626729E-2</v>
      </c>
      <c r="J44" s="12">
        <v>2.3859318269044782E-5</v>
      </c>
      <c r="K44" s="12">
        <v>0</v>
      </c>
      <c r="L44" s="22">
        <v>12.5</v>
      </c>
      <c r="M44" s="13">
        <v>2</v>
      </c>
      <c r="N44" s="22">
        <v>12</v>
      </c>
      <c r="O44" s="10">
        <v>14</v>
      </c>
      <c r="P44" s="10">
        <v>11</v>
      </c>
      <c r="Q44" s="15">
        <v>43472</v>
      </c>
      <c r="R44" s="26">
        <v>43483</v>
      </c>
      <c r="S44">
        <v>8</v>
      </c>
      <c r="T44">
        <v>4</v>
      </c>
      <c r="U44" t="s">
        <v>54</v>
      </c>
      <c r="V44" t="s">
        <v>57</v>
      </c>
      <c r="W44" t="s">
        <v>52</v>
      </c>
      <c r="X44" t="s">
        <v>56</v>
      </c>
      <c r="Y44" s="4"/>
      <c r="Z44" s="4"/>
      <c r="AA44" s="4"/>
    </row>
    <row r="45" spans="5:27" x14ac:dyDescent="0.25">
      <c r="E45" s="4"/>
      <c r="F45" s="9">
        <v>39</v>
      </c>
      <c r="G45" s="10">
        <v>6</v>
      </c>
      <c r="H45" s="10">
        <v>1</v>
      </c>
      <c r="I45" s="17">
        <v>2.7649769585253458E-2</v>
      </c>
      <c r="J45" s="19">
        <v>4.7024538685373381E-2</v>
      </c>
      <c r="K45" s="12">
        <v>0</v>
      </c>
      <c r="L45" s="18">
        <v>5.4</v>
      </c>
      <c r="M45" s="13">
        <v>2</v>
      </c>
      <c r="N45" s="13">
        <v>3</v>
      </c>
      <c r="O45" s="10">
        <v>10</v>
      </c>
      <c r="P45" s="10">
        <v>3</v>
      </c>
      <c r="Q45" s="15">
        <v>43473</v>
      </c>
      <c r="R45" s="16">
        <v>43475</v>
      </c>
      <c r="S45">
        <v>9</v>
      </c>
      <c r="T45">
        <v>4</v>
      </c>
      <c r="U45" t="s">
        <v>50</v>
      </c>
      <c r="V45" t="s">
        <v>57</v>
      </c>
      <c r="W45" t="s">
        <v>55</v>
      </c>
      <c r="X45" t="s">
        <v>56</v>
      </c>
      <c r="Y45" s="4"/>
      <c r="Z45" s="4"/>
      <c r="AA45" s="4"/>
    </row>
    <row r="46" spans="5:27" x14ac:dyDescent="0.25">
      <c r="E46" s="4"/>
      <c r="F46" s="9">
        <v>40</v>
      </c>
      <c r="G46" s="10">
        <v>3</v>
      </c>
      <c r="H46" s="10">
        <v>9</v>
      </c>
      <c r="I46" s="21">
        <v>1.3824884792626729E-2</v>
      </c>
      <c r="J46" s="12">
        <v>2.0642354941802325E-7</v>
      </c>
      <c r="K46" s="23">
        <v>0.33333333333333331</v>
      </c>
      <c r="L46" s="24">
        <v>7.5</v>
      </c>
      <c r="M46" s="13">
        <v>2</v>
      </c>
      <c r="N46" s="24">
        <v>8</v>
      </c>
      <c r="O46" s="10">
        <v>9</v>
      </c>
      <c r="P46" s="10">
        <v>6</v>
      </c>
      <c r="Q46" s="15">
        <v>43463</v>
      </c>
      <c r="R46" s="16">
        <v>43474</v>
      </c>
      <c r="S46">
        <v>0</v>
      </c>
      <c r="T46">
        <v>5</v>
      </c>
      <c r="U46" t="s">
        <v>54</v>
      </c>
      <c r="V46" t="s">
        <v>57</v>
      </c>
      <c r="W46" t="s">
        <v>52</v>
      </c>
      <c r="X46" t="s">
        <v>53</v>
      </c>
      <c r="Y46" s="4"/>
      <c r="Z46" s="4"/>
      <c r="AA46" s="4"/>
    </row>
    <row r="47" spans="5:27" x14ac:dyDescent="0.25">
      <c r="E47" s="4"/>
      <c r="F47" s="9">
        <v>41</v>
      </c>
      <c r="G47" s="10">
        <v>4</v>
      </c>
      <c r="H47" s="10">
        <v>1</v>
      </c>
      <c r="I47" s="21">
        <v>1.8433179723502304E-2</v>
      </c>
      <c r="J47" s="19">
        <v>4.4326920041709683E-2</v>
      </c>
      <c r="K47" s="21">
        <v>0.25</v>
      </c>
      <c r="L47" s="20">
        <v>9</v>
      </c>
      <c r="M47" s="22">
        <v>9</v>
      </c>
      <c r="N47" s="13">
        <v>4</v>
      </c>
      <c r="O47" s="10">
        <v>22</v>
      </c>
      <c r="P47" s="10">
        <v>1</v>
      </c>
      <c r="Q47" s="15">
        <v>43473</v>
      </c>
      <c r="R47" s="27">
        <v>43498</v>
      </c>
      <c r="S47">
        <v>1</v>
      </c>
      <c r="T47">
        <v>5</v>
      </c>
      <c r="U47" t="s">
        <v>50</v>
      </c>
      <c r="V47" t="s">
        <v>57</v>
      </c>
      <c r="W47" t="s">
        <v>55</v>
      </c>
      <c r="X47" t="s">
        <v>56</v>
      </c>
      <c r="Y47" s="4"/>
      <c r="Z47" s="4"/>
      <c r="AA47" s="4"/>
    </row>
    <row r="48" spans="5:27" x14ac:dyDescent="0.25">
      <c r="E48" s="4"/>
      <c r="F48" s="9">
        <v>42</v>
      </c>
      <c r="G48" s="10">
        <v>5</v>
      </c>
      <c r="H48" s="10">
        <v>2</v>
      </c>
      <c r="I48" s="23">
        <v>2.3041474654377881E-2</v>
      </c>
      <c r="J48" s="17">
        <v>0.13114657202541788</v>
      </c>
      <c r="K48" s="12">
        <v>0</v>
      </c>
      <c r="L48" s="18">
        <v>5.5</v>
      </c>
      <c r="M48" s="13">
        <v>3</v>
      </c>
      <c r="N48" s="18">
        <v>5</v>
      </c>
      <c r="O48" s="10">
        <v>11</v>
      </c>
      <c r="P48" s="10">
        <v>1</v>
      </c>
      <c r="Q48" s="15">
        <v>43472</v>
      </c>
      <c r="R48" s="16">
        <v>43476</v>
      </c>
      <c r="S48">
        <v>2</v>
      </c>
      <c r="T48">
        <v>5</v>
      </c>
      <c r="U48" t="s">
        <v>54</v>
      </c>
      <c r="V48" t="s">
        <v>57</v>
      </c>
      <c r="W48" t="s">
        <v>52</v>
      </c>
      <c r="X48" t="s">
        <v>56</v>
      </c>
      <c r="Y48" s="4"/>
      <c r="Z48" s="4"/>
      <c r="AA48" s="4"/>
    </row>
    <row r="49" spans="5:27" x14ac:dyDescent="0.25">
      <c r="E49" s="4"/>
      <c r="F49" s="9">
        <v>43</v>
      </c>
      <c r="G49" s="10">
        <v>5</v>
      </c>
      <c r="H49" s="10">
        <v>2</v>
      </c>
      <c r="I49" s="23">
        <v>2.3041474654377881E-2</v>
      </c>
      <c r="J49" s="11">
        <v>0.17603266337065721</v>
      </c>
      <c r="K49" s="21">
        <v>0.2</v>
      </c>
      <c r="L49" s="18">
        <v>5</v>
      </c>
      <c r="M49" s="13">
        <v>2</v>
      </c>
      <c r="N49" s="13">
        <v>4</v>
      </c>
      <c r="O49" s="10">
        <v>10</v>
      </c>
      <c r="P49" s="10">
        <v>2</v>
      </c>
      <c r="Q49" s="15">
        <v>43472</v>
      </c>
      <c r="R49" s="16">
        <v>43474</v>
      </c>
      <c r="S49">
        <v>3</v>
      </c>
      <c r="T49">
        <v>5</v>
      </c>
      <c r="U49" t="s">
        <v>50</v>
      </c>
      <c r="V49" t="s">
        <v>57</v>
      </c>
      <c r="W49" t="s">
        <v>55</v>
      </c>
      <c r="X49" t="s">
        <v>56</v>
      </c>
      <c r="Y49" s="4"/>
      <c r="Z49" s="4"/>
      <c r="AA49" s="4"/>
    </row>
    <row r="50" spans="5:27" x14ac:dyDescent="0.25">
      <c r="E50" s="4"/>
      <c r="F50" s="9">
        <v>44</v>
      </c>
      <c r="G50" s="10">
        <v>2</v>
      </c>
      <c r="H50" s="10">
        <v>7</v>
      </c>
      <c r="I50" s="19">
        <v>9.2165898617511521E-3</v>
      </c>
      <c r="J50" s="12">
        <v>0</v>
      </c>
      <c r="K50" s="11">
        <v>0.5</v>
      </c>
      <c r="L50" s="24">
        <v>7</v>
      </c>
      <c r="M50" s="14">
        <v>0</v>
      </c>
      <c r="N50" s="24">
        <v>7</v>
      </c>
      <c r="O50" s="10">
        <v>7</v>
      </c>
      <c r="P50" s="10">
        <v>7</v>
      </c>
      <c r="Q50" s="15">
        <v>43466</v>
      </c>
      <c r="R50" s="16">
        <v>43474</v>
      </c>
      <c r="S50">
        <v>4</v>
      </c>
      <c r="T50">
        <v>5</v>
      </c>
      <c r="U50" t="s">
        <v>54</v>
      </c>
      <c r="V50" t="s">
        <v>57</v>
      </c>
      <c r="W50" t="s">
        <v>52</v>
      </c>
      <c r="X50" t="s">
        <v>53</v>
      </c>
      <c r="Y50" s="4"/>
      <c r="Z50" s="4"/>
      <c r="AA50" s="4"/>
    </row>
    <row r="51" spans="5:27" x14ac:dyDescent="0.25">
      <c r="E51" s="4"/>
      <c r="F51" s="9">
        <v>45</v>
      </c>
      <c r="G51" s="10">
        <v>4</v>
      </c>
      <c r="H51" s="10">
        <v>13</v>
      </c>
      <c r="I51" s="21">
        <v>1.8433179723502304E-2</v>
      </c>
      <c r="J51" s="12">
        <v>1.0279773570997786E-18</v>
      </c>
      <c r="K51" s="12">
        <v>0</v>
      </c>
      <c r="L51" s="13">
        <v>4</v>
      </c>
      <c r="M51" s="14">
        <v>1</v>
      </c>
      <c r="N51" s="13">
        <v>4</v>
      </c>
      <c r="O51" s="10">
        <v>5</v>
      </c>
      <c r="P51" s="10">
        <v>3</v>
      </c>
      <c r="Q51" s="15">
        <v>43459</v>
      </c>
      <c r="R51" s="16">
        <v>43474</v>
      </c>
      <c r="S51">
        <v>5</v>
      </c>
      <c r="T51">
        <v>5</v>
      </c>
      <c r="U51" t="s">
        <v>50</v>
      </c>
      <c r="V51" t="s">
        <v>57</v>
      </c>
      <c r="W51" t="s">
        <v>55</v>
      </c>
      <c r="X51" t="s">
        <v>8</v>
      </c>
      <c r="Y51" s="4"/>
      <c r="Z51" s="4"/>
      <c r="AA51" s="4"/>
    </row>
    <row r="52" spans="5:27" x14ac:dyDescent="0.25">
      <c r="E52" s="4"/>
      <c r="F52" s="9">
        <v>46</v>
      </c>
      <c r="G52" s="10">
        <v>3</v>
      </c>
      <c r="H52" s="10">
        <v>6</v>
      </c>
      <c r="I52" s="21">
        <v>1.3824884792626729E-2</v>
      </c>
      <c r="J52" s="12">
        <v>1.0145240285836493E-3</v>
      </c>
      <c r="K52" s="12">
        <v>0</v>
      </c>
      <c r="L52" s="18">
        <v>5.5</v>
      </c>
      <c r="M52" s="13">
        <v>2</v>
      </c>
      <c r="N52" s="18">
        <v>6</v>
      </c>
      <c r="O52" s="10">
        <v>7</v>
      </c>
      <c r="P52" s="10">
        <v>4</v>
      </c>
      <c r="Q52" s="15">
        <v>43467</v>
      </c>
      <c r="R52" s="16">
        <v>43474</v>
      </c>
      <c r="S52">
        <v>6</v>
      </c>
      <c r="T52">
        <v>5</v>
      </c>
      <c r="U52" t="s">
        <v>54</v>
      </c>
      <c r="V52" t="s">
        <v>57</v>
      </c>
      <c r="W52" t="s">
        <v>55</v>
      </c>
      <c r="X52" t="s">
        <v>53</v>
      </c>
      <c r="Y52" s="4"/>
      <c r="Z52" s="4"/>
      <c r="AA52" s="4"/>
    </row>
    <row r="53" spans="5:27" x14ac:dyDescent="0.25">
      <c r="E53" s="4"/>
      <c r="F53" s="9">
        <v>47</v>
      </c>
      <c r="G53" s="10">
        <v>5</v>
      </c>
      <c r="H53" s="10">
        <v>3</v>
      </c>
      <c r="I53" s="23">
        <v>2.3041474654377881E-2</v>
      </c>
      <c r="J53" s="23">
        <v>9.3970625130632507E-2</v>
      </c>
      <c r="K53" s="12">
        <v>0</v>
      </c>
      <c r="L53" s="24">
        <v>6.5</v>
      </c>
      <c r="M53" s="13">
        <v>3</v>
      </c>
      <c r="N53" s="18">
        <v>6</v>
      </c>
      <c r="O53" s="10">
        <v>12</v>
      </c>
      <c r="P53" s="10">
        <v>2</v>
      </c>
      <c r="Q53" s="15">
        <v>43470</v>
      </c>
      <c r="R53" s="16">
        <v>43475</v>
      </c>
      <c r="S53">
        <v>7</v>
      </c>
      <c r="T53">
        <v>5</v>
      </c>
      <c r="U53" t="s">
        <v>50</v>
      </c>
      <c r="V53" t="s">
        <v>57</v>
      </c>
      <c r="W53" t="s">
        <v>55</v>
      </c>
      <c r="X53" t="s">
        <v>56</v>
      </c>
      <c r="Y53" s="4"/>
      <c r="Z53" s="4"/>
      <c r="AA53" s="4"/>
    </row>
    <row r="54" spans="5:27" x14ac:dyDescent="0.25">
      <c r="E54" s="4"/>
      <c r="F54" s="9">
        <v>48</v>
      </c>
      <c r="G54" s="10">
        <v>7</v>
      </c>
      <c r="H54" s="10">
        <v>2</v>
      </c>
      <c r="I54" s="11">
        <v>3.2258064516129031E-2</v>
      </c>
      <c r="J54" s="21">
        <v>7.290478895990421E-2</v>
      </c>
      <c r="K54" s="19">
        <v>0.14285714285714285</v>
      </c>
      <c r="L54" s="18">
        <v>4.833333333333333</v>
      </c>
      <c r="M54" s="18">
        <v>4</v>
      </c>
      <c r="N54" s="14">
        <v>1</v>
      </c>
      <c r="O54" s="10">
        <v>10</v>
      </c>
      <c r="P54" s="10">
        <v>1</v>
      </c>
      <c r="Q54" s="15">
        <v>43472</v>
      </c>
      <c r="R54" s="16">
        <v>43474</v>
      </c>
      <c r="S54">
        <v>8</v>
      </c>
      <c r="T54">
        <v>5</v>
      </c>
      <c r="U54" t="s">
        <v>54</v>
      </c>
      <c r="V54" t="s">
        <v>57</v>
      </c>
      <c r="W54" t="s">
        <v>55</v>
      </c>
      <c r="X54" t="s">
        <v>56</v>
      </c>
      <c r="Y54" s="4"/>
      <c r="Z54" s="4"/>
      <c r="AA54" s="4"/>
    </row>
    <row r="55" spans="5:27" x14ac:dyDescent="0.25">
      <c r="E55" s="4"/>
      <c r="F55" s="9">
        <v>49</v>
      </c>
      <c r="G55" s="10">
        <v>4</v>
      </c>
      <c r="H55" s="10">
        <v>6</v>
      </c>
      <c r="I55" s="21">
        <v>1.8433179723502304E-2</v>
      </c>
      <c r="J55" s="12">
        <v>2.2868626440362493E-7</v>
      </c>
      <c r="K55" s="12">
        <v>0</v>
      </c>
      <c r="L55" s="24">
        <v>8.3333333333333339</v>
      </c>
      <c r="M55" s="22">
        <v>8</v>
      </c>
      <c r="N55" s="14">
        <v>2</v>
      </c>
      <c r="O55" s="10">
        <v>21</v>
      </c>
      <c r="P55" s="10">
        <v>2</v>
      </c>
      <c r="Q55" s="15">
        <v>43467</v>
      </c>
      <c r="R55" s="25">
        <v>43480</v>
      </c>
      <c r="S55">
        <v>9</v>
      </c>
      <c r="T55">
        <v>5</v>
      </c>
      <c r="U55" t="s">
        <v>50</v>
      </c>
      <c r="V55" t="s">
        <v>57</v>
      </c>
      <c r="W55" t="s">
        <v>55</v>
      </c>
      <c r="X55" t="s">
        <v>53</v>
      </c>
      <c r="Y55" s="4"/>
      <c r="Z55" s="4"/>
      <c r="AA55" s="4"/>
    </row>
    <row r="56" spans="5:27" x14ac:dyDescent="0.25"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</row>
  </sheetData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SugerenciasUI"/>
  <dimension ref="A1:S22"/>
  <sheetViews>
    <sheetView showGridLines="0" workbookViewId="0">
      <selection activeCell="P14" sqref="P14"/>
    </sheetView>
  </sheetViews>
  <sheetFormatPr baseColWidth="10" defaultRowHeight="15" x14ac:dyDescent="0.25"/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57" t="s">
        <v>1</v>
      </c>
      <c r="S1" s="1" t="str">
        <f>Contexto!B1</f>
        <v>Bonoloto</v>
      </c>
    </row>
    <row r="2" spans="1:19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57" t="s">
        <v>2</v>
      </c>
      <c r="S2" s="1" t="str">
        <f>Contexto!B2</f>
        <v>Ultima Semana</v>
      </c>
    </row>
    <row r="3" spans="1:19" ht="19.5" x14ac:dyDescent="0.3">
      <c r="A3" s="1"/>
      <c r="B3" s="1"/>
      <c r="C3" s="1"/>
      <c r="D3" s="1"/>
      <c r="E3" s="3" t="s">
        <v>28</v>
      </c>
      <c r="F3" s="3"/>
      <c r="G3" s="3"/>
      <c r="Q3" s="1"/>
      <c r="R3" s="57" t="s">
        <v>10</v>
      </c>
      <c r="S3" s="1" t="str">
        <f>+Contexto!B3</f>
        <v>90 sorteos</v>
      </c>
    </row>
    <row r="4" spans="1:19" x14ac:dyDescent="0.25">
      <c r="A4" s="1"/>
      <c r="B4" s="1"/>
      <c r="C4" s="1"/>
      <c r="D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</row>
    <row r="5" spans="1:19" x14ac:dyDescent="0.25">
      <c r="A5" s="1"/>
      <c r="B5" s="1"/>
      <c r="C5" s="1"/>
      <c r="D5" s="1"/>
      <c r="E5" s="4" t="s">
        <v>29</v>
      </c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</row>
    <row r="6" spans="1:19" x14ac:dyDescent="0.25">
      <c r="A6" s="1"/>
      <c r="B6" s="1"/>
      <c r="C6" s="1"/>
      <c r="D6" s="1"/>
      <c r="E6" s="4"/>
      <c r="F6" s="4">
        <v>1</v>
      </c>
      <c r="G6" s="4" t="s">
        <v>30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</row>
    <row r="7" spans="1:19" x14ac:dyDescent="0.25">
      <c r="A7" s="1"/>
      <c r="B7" s="1"/>
      <c r="C7" s="1"/>
      <c r="D7" s="1"/>
      <c r="E7" s="4"/>
      <c r="F7" s="4">
        <v>2</v>
      </c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</row>
    <row r="8" spans="1:19" x14ac:dyDescent="0.25">
      <c r="A8" s="1"/>
      <c r="B8" s="1"/>
      <c r="C8" s="1"/>
      <c r="D8" s="1"/>
      <c r="E8" s="4"/>
      <c r="F8" s="4">
        <v>3</v>
      </c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</row>
    <row r="9" spans="1:19" x14ac:dyDescent="0.25">
      <c r="A9" s="1"/>
      <c r="B9" s="1"/>
      <c r="C9" s="1"/>
      <c r="D9" s="1"/>
      <c r="E9" s="4"/>
      <c r="F9" s="4">
        <v>4</v>
      </c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</row>
    <row r="10" spans="1:19" x14ac:dyDescent="0.25">
      <c r="A10" s="1"/>
      <c r="B10" s="1"/>
      <c r="C10" s="1"/>
      <c r="D10" s="1"/>
      <c r="E10" s="4"/>
      <c r="F10" s="4">
        <v>5</v>
      </c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</row>
    <row r="11" spans="1:19" x14ac:dyDescent="0.25">
      <c r="A11" s="1"/>
      <c r="B11" s="1"/>
      <c r="C11" s="1"/>
      <c r="D11" s="1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</row>
    <row r="12" spans="1:19" x14ac:dyDescent="0.25">
      <c r="A12" s="1"/>
      <c r="B12" s="1"/>
      <c r="C12" s="1"/>
      <c r="D12" s="1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</row>
    <row r="13" spans="1:19" x14ac:dyDescent="0.25">
      <c r="A13" s="1"/>
      <c r="B13" s="1"/>
      <c r="C13" s="1"/>
      <c r="D13" s="1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</row>
    <row r="14" spans="1:19" x14ac:dyDescent="0.25">
      <c r="A14" s="1"/>
      <c r="B14" s="1"/>
      <c r="C14" s="1"/>
      <c r="D14" s="1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</row>
    <row r="15" spans="1:19" x14ac:dyDescent="0.25">
      <c r="A15" s="1"/>
      <c r="B15" s="1"/>
      <c r="C15" s="1"/>
      <c r="D15" s="1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</row>
    <row r="16" spans="1:19" x14ac:dyDescent="0.25">
      <c r="A16" s="1"/>
      <c r="B16" s="1"/>
      <c r="C16" s="1"/>
      <c r="D16" s="1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</row>
    <row r="17" spans="5:19" x14ac:dyDescent="0.25"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</row>
    <row r="18" spans="5:19" x14ac:dyDescent="0.25"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</row>
    <row r="19" spans="5:19" x14ac:dyDescent="0.25"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</row>
    <row r="20" spans="5:19" x14ac:dyDescent="0.25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</row>
    <row r="21" spans="5:19" x14ac:dyDescent="0.25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</row>
    <row r="22" spans="5:19" x14ac:dyDescent="0.25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ContabilidadUI"/>
  <dimension ref="A1:O22"/>
  <sheetViews>
    <sheetView showGridLines="0" workbookViewId="0">
      <selection activeCell="L1" sqref="L1"/>
    </sheetView>
  </sheetViews>
  <sheetFormatPr baseColWidth="10" defaultRowHeight="15" x14ac:dyDescent="0.25"/>
  <cols>
    <col min="5" max="5" width="6.85546875" customWidth="1"/>
    <col min="6" max="6" width="10.140625" customWidth="1"/>
    <col min="7" max="7" width="19.85546875" customWidth="1"/>
    <col min="8" max="8" width="8.5703125" customWidth="1"/>
    <col min="9" max="9" width="18.5703125" customWidth="1"/>
    <col min="10" max="10" width="8.5703125" customWidth="1"/>
    <col min="11" max="12" width="8.28515625" customWidth="1"/>
    <col min="14" max="14" width="11.140625" bestFit="1" customWidth="1"/>
    <col min="15" max="15" width="14.28515625" bestFit="1" customWidth="1"/>
  </cols>
  <sheetData>
    <row r="1" spans="1:15" x14ac:dyDescent="0.25">
      <c r="A1" s="30"/>
      <c r="B1" s="30"/>
      <c r="C1" s="30"/>
      <c r="D1" s="30"/>
      <c r="E1" s="30"/>
      <c r="F1" s="30"/>
      <c r="G1" s="30"/>
      <c r="H1" s="30"/>
      <c r="I1" s="30"/>
      <c r="J1" s="30"/>
      <c r="K1" s="30"/>
      <c r="L1" s="30"/>
      <c r="M1" s="30"/>
      <c r="N1" s="31" t="s">
        <v>1</v>
      </c>
      <c r="O1" s="30" t="str">
        <f>Contexto!B1</f>
        <v>Bonoloto</v>
      </c>
    </row>
    <row r="2" spans="1:15" x14ac:dyDescent="0.25">
      <c r="A2" s="30"/>
      <c r="B2" s="30"/>
      <c r="C2" s="30"/>
      <c r="D2" s="30"/>
      <c r="E2" s="30"/>
      <c r="F2" s="30"/>
      <c r="G2" s="30"/>
      <c r="H2" s="30"/>
      <c r="I2" s="30"/>
      <c r="J2" s="30"/>
      <c r="K2" s="30"/>
      <c r="L2" s="30"/>
      <c r="M2" s="30"/>
      <c r="N2" s="31" t="s">
        <v>2</v>
      </c>
      <c r="O2" s="30" t="str">
        <f>Contexto!B2</f>
        <v>Ultima Semana</v>
      </c>
    </row>
    <row r="3" spans="1:15" ht="19.5" x14ac:dyDescent="0.3">
      <c r="A3" s="30"/>
      <c r="B3" s="30"/>
      <c r="C3" s="30"/>
      <c r="D3" s="30"/>
      <c r="E3" s="3" t="s">
        <v>58</v>
      </c>
      <c r="F3" s="3"/>
      <c r="G3" s="3"/>
      <c r="M3" s="30"/>
      <c r="N3" s="31" t="s">
        <v>10</v>
      </c>
      <c r="O3" s="30" t="str">
        <f>+Contexto!B3</f>
        <v>90 sorteos</v>
      </c>
    </row>
    <row r="4" spans="1:15" x14ac:dyDescent="0.25">
      <c r="A4" s="30"/>
      <c r="B4" s="30"/>
      <c r="C4" s="30"/>
      <c r="D4" s="30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5" x14ac:dyDescent="0.25">
      <c r="A5" s="30"/>
      <c r="B5" s="30"/>
      <c r="C5" s="30"/>
      <c r="D5" s="30"/>
      <c r="E5" s="4"/>
      <c r="F5" s="32" t="s">
        <v>5</v>
      </c>
      <c r="G5" s="32" t="s">
        <v>60</v>
      </c>
      <c r="H5" s="32" t="s">
        <v>61</v>
      </c>
      <c r="I5" s="32" t="s">
        <v>62</v>
      </c>
      <c r="J5" s="32" t="s">
        <v>63</v>
      </c>
      <c r="K5" s="32" t="s">
        <v>64</v>
      </c>
      <c r="L5" s="33" t="s">
        <v>65</v>
      </c>
      <c r="M5" s="4"/>
      <c r="N5" s="4"/>
      <c r="O5" s="4"/>
    </row>
    <row r="6" spans="1:15" x14ac:dyDescent="0.25">
      <c r="A6" s="30"/>
      <c r="B6" s="30"/>
      <c r="C6" s="30"/>
      <c r="D6" s="30"/>
      <c r="E6" s="4"/>
      <c r="F6" s="34">
        <v>43466</v>
      </c>
      <c r="G6" s="35" t="s">
        <v>59</v>
      </c>
      <c r="H6" s="36">
        <f t="shared" ref="H6:H18" si="0">WEEKNUM(F6,21)</f>
        <v>1</v>
      </c>
      <c r="I6" s="37" t="s">
        <v>66</v>
      </c>
      <c r="J6" s="38">
        <v>2.68</v>
      </c>
      <c r="K6" s="39"/>
      <c r="L6" s="40">
        <f>+J6</f>
        <v>2.68</v>
      </c>
      <c r="M6" s="4"/>
      <c r="N6" s="4"/>
      <c r="O6" s="4"/>
    </row>
    <row r="7" spans="1:15" x14ac:dyDescent="0.25">
      <c r="A7" s="30"/>
      <c r="B7" s="30"/>
      <c r="C7" s="30"/>
      <c r="D7" s="30"/>
      <c r="E7" s="4"/>
      <c r="F7" s="34">
        <v>43466</v>
      </c>
      <c r="G7" s="35" t="s">
        <v>59</v>
      </c>
      <c r="H7" s="36">
        <f t="shared" si="0"/>
        <v>1</v>
      </c>
      <c r="I7" s="41" t="s">
        <v>67</v>
      </c>
      <c r="J7" s="38">
        <v>6</v>
      </c>
      <c r="K7" s="39"/>
      <c r="L7" s="40">
        <f>+L6+J7+-K7</f>
        <v>8.68</v>
      </c>
      <c r="M7" s="4"/>
      <c r="N7" s="4"/>
      <c r="O7" s="4"/>
    </row>
    <row r="8" spans="1:15" x14ac:dyDescent="0.25">
      <c r="A8" s="30"/>
      <c r="B8" s="30"/>
      <c r="C8" s="30"/>
      <c r="D8" s="30"/>
      <c r="E8" s="4"/>
      <c r="F8" s="42">
        <v>43466</v>
      </c>
      <c r="G8" s="43" t="s">
        <v>68</v>
      </c>
      <c r="H8" s="44">
        <f t="shared" si="0"/>
        <v>1</v>
      </c>
      <c r="I8" s="45" t="s">
        <v>66</v>
      </c>
      <c r="J8" s="46">
        <v>10</v>
      </c>
      <c r="K8" s="47"/>
      <c r="L8" s="48">
        <f t="shared" ref="L8:L13" si="1">+L7+J8-K8</f>
        <v>18.68</v>
      </c>
      <c r="M8" s="4"/>
      <c r="N8" s="4"/>
      <c r="O8" s="4"/>
    </row>
    <row r="9" spans="1:15" x14ac:dyDescent="0.25">
      <c r="A9" s="30"/>
      <c r="B9" s="30"/>
      <c r="C9" s="30"/>
      <c r="D9" s="30"/>
      <c r="E9" s="4"/>
      <c r="F9" s="42">
        <v>43466</v>
      </c>
      <c r="G9" s="43" t="s">
        <v>68</v>
      </c>
      <c r="H9" s="44">
        <f t="shared" si="0"/>
        <v>1</v>
      </c>
      <c r="I9" s="45" t="s">
        <v>67</v>
      </c>
      <c r="J9" s="46">
        <v>10</v>
      </c>
      <c r="K9" s="47"/>
      <c r="L9" s="48">
        <f t="shared" si="1"/>
        <v>28.68</v>
      </c>
      <c r="M9" s="4"/>
      <c r="N9" s="4"/>
      <c r="O9" s="4"/>
    </row>
    <row r="10" spans="1:15" x14ac:dyDescent="0.25">
      <c r="A10" s="30"/>
      <c r="B10" s="30"/>
      <c r="C10" s="30"/>
      <c r="D10" s="30"/>
      <c r="E10" s="4"/>
      <c r="F10" s="42">
        <v>43466</v>
      </c>
      <c r="G10" s="43" t="s">
        <v>69</v>
      </c>
      <c r="H10" s="44">
        <f t="shared" si="0"/>
        <v>1</v>
      </c>
      <c r="I10" s="49" t="s">
        <v>66</v>
      </c>
      <c r="J10" s="46"/>
      <c r="K10" s="47">
        <v>6</v>
      </c>
      <c r="L10" s="48">
        <f t="shared" si="1"/>
        <v>22.68</v>
      </c>
      <c r="M10" s="4"/>
      <c r="N10" s="4"/>
      <c r="O10" s="4"/>
    </row>
    <row r="11" spans="1:15" x14ac:dyDescent="0.25">
      <c r="A11" s="30"/>
      <c r="B11" s="30"/>
      <c r="C11" s="30"/>
      <c r="D11" s="30"/>
      <c r="E11" s="4"/>
      <c r="F11" s="42">
        <v>43466</v>
      </c>
      <c r="G11" s="43" t="s">
        <v>69</v>
      </c>
      <c r="H11" s="44">
        <f t="shared" si="0"/>
        <v>1</v>
      </c>
      <c r="I11" s="45" t="s">
        <v>67</v>
      </c>
      <c r="J11" s="46"/>
      <c r="K11" s="47">
        <v>4</v>
      </c>
      <c r="L11" s="48">
        <f t="shared" si="1"/>
        <v>18.68</v>
      </c>
      <c r="M11" s="4"/>
      <c r="N11" s="4"/>
      <c r="O11" s="4"/>
    </row>
    <row r="12" spans="1:15" x14ac:dyDescent="0.25">
      <c r="A12" s="30"/>
      <c r="B12" s="30"/>
      <c r="C12" s="30"/>
      <c r="D12" s="30"/>
      <c r="E12" s="4"/>
      <c r="F12" s="34">
        <v>43471</v>
      </c>
      <c r="G12" s="35" t="s">
        <v>70</v>
      </c>
      <c r="H12" s="36">
        <f t="shared" si="0"/>
        <v>1</v>
      </c>
      <c r="I12" s="37" t="s">
        <v>66</v>
      </c>
      <c r="J12" s="38">
        <f>2.68+10-6</f>
        <v>6.68</v>
      </c>
      <c r="K12" s="39">
        <f>J12</f>
        <v>6.68</v>
      </c>
      <c r="L12" s="40">
        <f t="shared" si="1"/>
        <v>18.68</v>
      </c>
      <c r="M12" s="4"/>
      <c r="N12" s="4"/>
      <c r="O12" s="4"/>
    </row>
    <row r="13" spans="1:15" x14ac:dyDescent="0.25">
      <c r="A13" s="30"/>
      <c r="B13" s="30"/>
      <c r="C13" s="30"/>
      <c r="D13" s="30"/>
      <c r="E13" s="4"/>
      <c r="F13" s="34">
        <v>43471</v>
      </c>
      <c r="G13" s="35" t="s">
        <v>70</v>
      </c>
      <c r="H13" s="36">
        <f t="shared" si="0"/>
        <v>1</v>
      </c>
      <c r="I13" s="41" t="s">
        <v>67</v>
      </c>
      <c r="J13" s="38">
        <f>6+10-4</f>
        <v>12</v>
      </c>
      <c r="K13" s="39">
        <f>J13</f>
        <v>12</v>
      </c>
      <c r="L13" s="40">
        <f t="shared" si="1"/>
        <v>18.68</v>
      </c>
      <c r="M13" s="4"/>
      <c r="N13" s="4"/>
      <c r="O13" s="4"/>
    </row>
    <row r="14" spans="1:15" x14ac:dyDescent="0.25">
      <c r="A14" s="30"/>
      <c r="B14" s="30"/>
      <c r="C14" s="30"/>
      <c r="D14" s="30"/>
      <c r="E14" s="4"/>
      <c r="F14" s="42">
        <v>43472</v>
      </c>
      <c r="G14" s="43" t="s">
        <v>69</v>
      </c>
      <c r="H14" s="44">
        <f t="shared" si="0"/>
        <v>2</v>
      </c>
      <c r="I14" s="49" t="s">
        <v>66</v>
      </c>
      <c r="J14" s="46"/>
      <c r="K14" s="47">
        <v>4</v>
      </c>
      <c r="L14" s="48">
        <f>+L13-K14+J14</f>
        <v>14.68</v>
      </c>
      <c r="M14" s="4"/>
      <c r="N14" s="4"/>
      <c r="O14" s="4"/>
    </row>
    <row r="15" spans="1:15" x14ac:dyDescent="0.25">
      <c r="A15" s="30"/>
      <c r="B15" s="30"/>
      <c r="C15" s="30"/>
      <c r="D15" s="30"/>
      <c r="E15" s="4"/>
      <c r="F15" s="42">
        <v>43472</v>
      </c>
      <c r="G15" s="43" t="s">
        <v>69</v>
      </c>
      <c r="H15" s="44">
        <f t="shared" si="0"/>
        <v>2</v>
      </c>
      <c r="I15" s="45" t="s">
        <v>67</v>
      </c>
      <c r="J15" s="46"/>
      <c r="K15" s="47">
        <v>6</v>
      </c>
      <c r="L15" s="48">
        <f>+L14-K15+J15</f>
        <v>8.68</v>
      </c>
      <c r="M15" s="4"/>
      <c r="N15" s="4"/>
      <c r="O15" s="4"/>
    </row>
    <row r="16" spans="1:15" x14ac:dyDescent="0.25">
      <c r="A16" s="30"/>
      <c r="B16" s="30"/>
      <c r="C16" s="30"/>
      <c r="D16" s="30"/>
      <c r="E16" s="4"/>
      <c r="F16" s="42">
        <v>43473</v>
      </c>
      <c r="G16" s="50" t="s">
        <v>71</v>
      </c>
      <c r="H16" s="51">
        <f t="shared" si="0"/>
        <v>2</v>
      </c>
      <c r="I16" s="49" t="s">
        <v>66</v>
      </c>
      <c r="J16" s="46">
        <v>1</v>
      </c>
      <c r="K16" s="47"/>
      <c r="L16" s="48">
        <f>+L15-K16+J16</f>
        <v>9.68</v>
      </c>
      <c r="M16" s="4"/>
      <c r="N16" s="4"/>
      <c r="O16" s="4"/>
    </row>
    <row r="17" spans="5:15" x14ac:dyDescent="0.25">
      <c r="E17" s="4"/>
      <c r="F17" s="34">
        <v>43478</v>
      </c>
      <c r="G17" s="35" t="s">
        <v>70</v>
      </c>
      <c r="H17" s="36">
        <f t="shared" si="0"/>
        <v>2</v>
      </c>
      <c r="I17" s="37" t="s">
        <v>66</v>
      </c>
      <c r="J17" s="38">
        <f>6.68-4</f>
        <v>2.6799999999999997</v>
      </c>
      <c r="K17" s="39">
        <f>J17</f>
        <v>2.6799999999999997</v>
      </c>
      <c r="L17" s="40">
        <f>+L16-K17+J17</f>
        <v>9.68</v>
      </c>
      <c r="M17" s="4"/>
      <c r="N17" s="4"/>
      <c r="O17" s="4"/>
    </row>
    <row r="18" spans="5:15" x14ac:dyDescent="0.25">
      <c r="E18" s="4"/>
      <c r="F18" s="34">
        <v>43478</v>
      </c>
      <c r="G18" s="35" t="s">
        <v>70</v>
      </c>
      <c r="H18" s="36">
        <f t="shared" si="0"/>
        <v>2</v>
      </c>
      <c r="I18" s="41" t="s">
        <v>67</v>
      </c>
      <c r="J18" s="38">
        <f>12-6</f>
        <v>6</v>
      </c>
      <c r="K18" s="39">
        <f>J18</f>
        <v>6</v>
      </c>
      <c r="L18" s="40">
        <f>+L17-K18+J18</f>
        <v>9.68</v>
      </c>
      <c r="M18" s="4"/>
      <c r="N18" s="4"/>
      <c r="O18" s="4"/>
    </row>
    <row r="19" spans="5:15" x14ac:dyDescent="0.25">
      <c r="E19" s="4"/>
      <c r="F19" s="52" t="s">
        <v>72</v>
      </c>
      <c r="H19" s="53"/>
      <c r="I19" s="45"/>
      <c r="J19" s="54">
        <f>SUM(J6:J18)</f>
        <v>57.04</v>
      </c>
      <c r="K19" s="55">
        <f>SUM(K6:K18)</f>
        <v>47.36</v>
      </c>
      <c r="L19" s="56">
        <f>+J19-K19</f>
        <v>9.68</v>
      </c>
      <c r="M19" s="4"/>
      <c r="N19" s="4"/>
      <c r="O19" s="4"/>
    </row>
    <row r="20" spans="5:15" x14ac:dyDescent="0.25"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</row>
    <row r="21" spans="5:15" x14ac:dyDescent="0.25"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</row>
    <row r="22" spans="5:15" x14ac:dyDescent="0.25"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</row>
  </sheetData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SalidaUI"/>
  <dimension ref="A1"/>
  <sheetViews>
    <sheetView showGridLines="0" workbookViewId="0">
      <selection activeCell="C2" sqref="C2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Contexto"/>
  <dimension ref="A1:K12"/>
  <sheetViews>
    <sheetView workbookViewId="0">
      <selection activeCell="B3" sqref="B3"/>
    </sheetView>
  </sheetViews>
  <sheetFormatPr baseColWidth="10" defaultRowHeight="15" x14ac:dyDescent="0.25"/>
  <cols>
    <col min="2" max="2" width="18.85546875" bestFit="1" customWidth="1"/>
    <col min="7" max="7" width="15.7109375" bestFit="1" customWidth="1"/>
    <col min="8" max="8" width="11.28515625" bestFit="1" customWidth="1"/>
    <col min="9" max="9" width="17.42578125" bestFit="1" customWidth="1"/>
    <col min="10" max="10" width="12.5703125" bestFit="1" customWidth="1"/>
    <col min="11" max="11" width="13.140625" bestFit="1" customWidth="1"/>
  </cols>
  <sheetData>
    <row r="1" spans="1:11" x14ac:dyDescent="0.25">
      <c r="A1" t="s">
        <v>1</v>
      </c>
      <c r="B1" t="s">
        <v>3</v>
      </c>
      <c r="G1" s="76" t="s">
        <v>79</v>
      </c>
      <c r="H1" s="76" t="s">
        <v>80</v>
      </c>
      <c r="I1" s="76" t="s">
        <v>2</v>
      </c>
      <c r="J1" s="76" t="s">
        <v>101</v>
      </c>
      <c r="K1" s="76" t="s">
        <v>108</v>
      </c>
    </row>
    <row r="2" spans="1:11" x14ac:dyDescent="0.25">
      <c r="A2" t="s">
        <v>2</v>
      </c>
      <c r="B2" t="s">
        <v>4</v>
      </c>
      <c r="G2" s="77" t="s">
        <v>3</v>
      </c>
      <c r="H2" s="77" t="s">
        <v>75</v>
      </c>
      <c r="I2" s="77" t="s">
        <v>81</v>
      </c>
      <c r="J2" s="77" t="s">
        <v>102</v>
      </c>
      <c r="K2" s="77" t="s">
        <v>109</v>
      </c>
    </row>
    <row r="3" spans="1:11" x14ac:dyDescent="0.25">
      <c r="A3" t="s">
        <v>11</v>
      </c>
      <c r="B3" t="s">
        <v>12</v>
      </c>
      <c r="G3" s="77" t="s">
        <v>6</v>
      </c>
      <c r="H3" s="77" t="s">
        <v>82</v>
      </c>
      <c r="I3" s="77" t="s">
        <v>83</v>
      </c>
      <c r="J3" s="77" t="s">
        <v>100</v>
      </c>
      <c r="K3" s="77" t="s">
        <v>110</v>
      </c>
    </row>
    <row r="4" spans="1:11" x14ac:dyDescent="0.25">
      <c r="A4" t="s">
        <v>148</v>
      </c>
      <c r="B4" t="s">
        <v>149</v>
      </c>
      <c r="G4" s="77" t="s">
        <v>9</v>
      </c>
      <c r="I4" s="77" t="s">
        <v>84</v>
      </c>
      <c r="J4" s="77" t="s">
        <v>103</v>
      </c>
    </row>
    <row r="5" spans="1:11" x14ac:dyDescent="0.25">
      <c r="G5" s="77" t="s">
        <v>85</v>
      </c>
      <c r="I5" s="77" t="s">
        <v>86</v>
      </c>
    </row>
    <row r="6" spans="1:11" x14ac:dyDescent="0.25">
      <c r="G6" s="77" t="s">
        <v>87</v>
      </c>
      <c r="I6" s="77" t="s">
        <v>88</v>
      </c>
    </row>
    <row r="7" spans="1:11" x14ac:dyDescent="0.25">
      <c r="I7" s="77" t="s">
        <v>89</v>
      </c>
    </row>
    <row r="8" spans="1:11" x14ac:dyDescent="0.25">
      <c r="I8" s="77" t="s">
        <v>4</v>
      </c>
    </row>
    <row r="9" spans="1:11" x14ac:dyDescent="0.25">
      <c r="I9" s="77" t="s">
        <v>90</v>
      </c>
    </row>
    <row r="10" spans="1:11" x14ac:dyDescent="0.25">
      <c r="I10" s="77" t="s">
        <v>91</v>
      </c>
    </row>
    <row r="11" spans="1:11" x14ac:dyDescent="0.25">
      <c r="I11" s="77" t="s">
        <v>92</v>
      </c>
    </row>
    <row r="12" spans="1:11" x14ac:dyDescent="0.25">
      <c r="I12" s="77" t="s">
        <v>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4</vt:i4>
      </vt:variant>
    </vt:vector>
  </HeadingPairs>
  <TitlesOfParts>
    <vt:vector size="12" baseType="lpstr">
      <vt:lpstr>Portada</vt:lpstr>
      <vt:lpstr>Sorteos</vt:lpstr>
      <vt:lpstr>Apuestas</vt:lpstr>
      <vt:lpstr>Estadistica</vt:lpstr>
      <vt:lpstr>Sugerencias</vt:lpstr>
      <vt:lpstr>Contabilidad</vt:lpstr>
      <vt:lpstr>Salida</vt:lpstr>
      <vt:lpstr>Contexto</vt:lpstr>
      <vt:lpstr>Participantes</vt:lpstr>
      <vt:lpstr>Periodo</vt:lpstr>
      <vt:lpstr>TipoBoleto</vt:lpstr>
      <vt:lpstr>TipoJuego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Almela Baeza</dc:creator>
  <cp:lastModifiedBy>Carlos Almela Baeza</cp:lastModifiedBy>
  <dcterms:created xsi:type="dcterms:W3CDTF">2015-06-05T18:19:34Z</dcterms:created>
  <dcterms:modified xsi:type="dcterms:W3CDTF">2020-01-11T23:49:05Z</dcterms:modified>
</cp:coreProperties>
</file>