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uentes\Lot_Excel\Lot_Primitiva\"/>
    </mc:Choice>
  </mc:AlternateContent>
  <xr:revisionPtr revIDLastSave="0" documentId="13_ncr:1_{99CFCB0E-9917-4611-80E6-C97EBF2948D0}" xr6:coauthVersionLast="40" xr6:coauthVersionMax="40" xr10:uidLastSave="{00000000-0000-0000-0000-000000000000}"/>
  <bookViews>
    <workbookView xWindow="0" yWindow="0" windowWidth="28800" windowHeight="11610" activeTab="7" xr2:uid="{00000000-000D-0000-FFFF-FFFF00000000}"/>
  </bookViews>
  <sheets>
    <sheet name="Historico" sheetId="2" r:id="rId1"/>
    <sheet name="Movimientos" sheetId="4" r:id="rId2"/>
    <sheet name="Resultados" sheetId="3" r:id="rId3"/>
    <sheet name="Boletos" sheetId="5" r:id="rId4"/>
    <sheet name="Apuestas" sheetId="6" r:id="rId5"/>
    <sheet name="Metodos" sheetId="10" r:id="rId6"/>
    <sheet name="MisApuestas" sheetId="7" r:id="rId7"/>
    <sheet name="Salida" sheetId="8" r:id="rId8"/>
    <sheet name="Calendario" sheetId="9" r:id="rId9"/>
  </sheets>
  <functionGroups builtInGroupCount="19"/>
  <definedNames>
    <definedName name="_xlnm._FilterDatabase" localSheetId="6" hidden="1">MisApuestas!$A$2:$O$77</definedName>
    <definedName name="_xlnm._FilterDatabase" localSheetId="7" hidden="1">Salida!$A$9:$T$58</definedName>
    <definedName name="_par3">#REF!</definedName>
    <definedName name="_par4">#REF!</definedName>
    <definedName name="Dias">#REF!</definedName>
    <definedName name="fe_fin">#REF!</definedName>
    <definedName name="fe_fin_par2">#REF!</definedName>
    <definedName name="fe_ini_par1">#REF!</definedName>
    <definedName name="fe_inicio">#REF!</definedName>
    <definedName name="metodo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4" i="4" l="1"/>
  <c r="C114" i="4"/>
  <c r="F113" i="4"/>
  <c r="C113" i="4"/>
  <c r="C112" i="4"/>
  <c r="C111" i="4"/>
  <c r="E110" i="4"/>
  <c r="F110" i="4" s="1"/>
  <c r="C110" i="4"/>
  <c r="E109" i="4"/>
  <c r="F109" i="4" s="1"/>
  <c r="C109" i="4"/>
  <c r="C108" i="4"/>
  <c r="C107" i="4"/>
  <c r="E106" i="4"/>
  <c r="F106" i="4" s="1"/>
  <c r="C106" i="4"/>
  <c r="E105" i="4"/>
  <c r="F105" i="4" s="1"/>
  <c r="C105" i="4"/>
  <c r="C104" i="4"/>
  <c r="C103" i="4"/>
  <c r="E102" i="4"/>
  <c r="F102" i="4" s="1"/>
  <c r="C102" i="4"/>
  <c r="E101" i="4"/>
  <c r="F101" i="4" s="1"/>
  <c r="C101" i="4"/>
  <c r="C100" i="4"/>
  <c r="C99" i="4"/>
  <c r="E98" i="4"/>
  <c r="F98" i="4" s="1"/>
  <c r="C98" i="4"/>
  <c r="E97" i="4"/>
  <c r="F97" i="4" s="1"/>
  <c r="C97" i="4"/>
  <c r="C96" i="4"/>
  <c r="C95" i="4"/>
  <c r="E94" i="4" l="1"/>
  <c r="F94" i="4" s="1"/>
  <c r="C94" i="4"/>
  <c r="E93" i="4"/>
  <c r="F93" i="4" s="1"/>
  <c r="C93" i="4"/>
  <c r="C92" i="4"/>
  <c r="C91" i="4"/>
  <c r="E90" i="4"/>
  <c r="F90" i="4" s="1"/>
  <c r="C90" i="4"/>
  <c r="E89" i="4"/>
  <c r="F89" i="4" s="1"/>
  <c r="C89" i="4"/>
  <c r="C88" i="4"/>
  <c r="C87" i="4"/>
  <c r="E86" i="4"/>
  <c r="F86" i="4" s="1"/>
  <c r="C86" i="4"/>
  <c r="E85" i="4"/>
  <c r="F85" i="4" s="1"/>
  <c r="C85" i="4"/>
  <c r="C84" i="4"/>
  <c r="C83" i="4"/>
  <c r="E82" i="4"/>
  <c r="F82" i="4" s="1"/>
  <c r="C82" i="4"/>
  <c r="E81" i="4"/>
  <c r="F81" i="4" s="1"/>
  <c r="C81" i="4"/>
  <c r="C80" i="4"/>
  <c r="C79" i="4"/>
  <c r="E78" i="4" l="1"/>
  <c r="E77" i="4"/>
  <c r="C76" i="4"/>
  <c r="C75" i="4"/>
  <c r="F78" i="4"/>
  <c r="C78" i="4"/>
  <c r="F77" i="4"/>
  <c r="C77" i="4"/>
  <c r="E74" i="4" l="1"/>
  <c r="E73" i="4"/>
  <c r="E649" i="3" l="1"/>
  <c r="A649" i="3"/>
  <c r="D649" i="3"/>
  <c r="A44" i="6" l="1"/>
  <c r="B44" i="6"/>
  <c r="B45" i="6" s="1"/>
  <c r="E44" i="6"/>
  <c r="A45" i="6"/>
  <c r="E45" i="6"/>
  <c r="C72" i="4" l="1"/>
  <c r="E648" i="3"/>
  <c r="A648" i="3"/>
  <c r="D648" i="3"/>
  <c r="I43" i="5" l="1"/>
  <c r="I44" i="5"/>
  <c r="I45" i="5"/>
  <c r="L43" i="5"/>
  <c r="L44" i="5"/>
  <c r="L45" i="5"/>
  <c r="A42" i="5"/>
  <c r="B42" i="5"/>
  <c r="A43" i="5"/>
  <c r="A44" i="5" s="1"/>
  <c r="A45" i="5" s="1"/>
  <c r="B43" i="5"/>
  <c r="B44" i="5"/>
  <c r="B45" i="5"/>
  <c r="I42" i="5"/>
  <c r="L42" i="5"/>
  <c r="A42" i="6" l="1"/>
  <c r="B42" i="6"/>
  <c r="E42" i="6"/>
  <c r="A43" i="6"/>
  <c r="B43" i="6"/>
  <c r="E43" i="6"/>
  <c r="F74" i="4" l="1"/>
  <c r="C74" i="4"/>
  <c r="F73" i="4"/>
  <c r="C73" i="4"/>
  <c r="C71" i="4"/>
  <c r="C70" i="4"/>
  <c r="E69" i="4"/>
  <c r="E68" i="4"/>
  <c r="C67" i="4"/>
  <c r="C66" i="4"/>
  <c r="E647" i="3" l="1"/>
  <c r="A647" i="3"/>
  <c r="D647" i="3"/>
  <c r="A40" i="6" l="1"/>
  <c r="B40" i="6"/>
  <c r="E40" i="6"/>
  <c r="A41" i="6"/>
  <c r="B41" i="6"/>
  <c r="E41" i="6"/>
  <c r="A646" i="3" l="1"/>
  <c r="D646" i="3"/>
  <c r="E646" i="3"/>
  <c r="C65" i="4" l="1"/>
  <c r="A38" i="6" l="1"/>
  <c r="B38" i="6"/>
  <c r="E38" i="6"/>
  <c r="A39" i="6"/>
  <c r="B39" i="6"/>
  <c r="E39" i="6"/>
  <c r="I39" i="5"/>
  <c r="I40" i="5"/>
  <c r="I41" i="5"/>
  <c r="L39" i="5"/>
  <c r="L40" i="5"/>
  <c r="L41" i="5"/>
  <c r="A38" i="5"/>
  <c r="B38" i="5"/>
  <c r="A39" i="5"/>
  <c r="A40" i="5" s="1"/>
  <c r="A41" i="5" s="1"/>
  <c r="B39" i="5"/>
  <c r="B40" i="5"/>
  <c r="B41" i="5"/>
  <c r="I38" i="5"/>
  <c r="L38" i="5"/>
  <c r="F69" i="4"/>
  <c r="C69" i="4"/>
  <c r="F68" i="4"/>
  <c r="C68" i="4"/>
  <c r="C64" i="4"/>
  <c r="C63" i="4"/>
  <c r="E62" i="4" l="1"/>
  <c r="E61" i="4"/>
  <c r="C60" i="4" l="1"/>
  <c r="A645" i="3"/>
  <c r="D645" i="3"/>
  <c r="E645" i="3"/>
  <c r="A36" i="6" l="1"/>
  <c r="B36" i="6"/>
  <c r="E36" i="6"/>
  <c r="A37" i="6"/>
  <c r="B37" i="6"/>
  <c r="E37" i="6"/>
  <c r="C59" i="4" l="1"/>
  <c r="A644" i="3" l="1"/>
  <c r="D644" i="3"/>
  <c r="E644" i="3"/>
  <c r="B35" i="5"/>
  <c r="I35" i="5"/>
  <c r="L35" i="5"/>
  <c r="B36" i="5"/>
  <c r="I36" i="5"/>
  <c r="L36" i="5"/>
  <c r="B37" i="5"/>
  <c r="I37" i="5"/>
  <c r="L37" i="5"/>
  <c r="I34" i="5"/>
  <c r="L34" i="5"/>
  <c r="B34" i="5"/>
  <c r="A34" i="6" l="1"/>
  <c r="B34" i="6"/>
  <c r="A35" i="6"/>
  <c r="B35" i="6"/>
  <c r="E35" i="6"/>
  <c r="E34" i="6"/>
  <c r="F62" i="4"/>
  <c r="C62" i="4"/>
  <c r="F61" i="4"/>
  <c r="C61" i="4"/>
  <c r="C58" i="4"/>
  <c r="C57" i="4"/>
  <c r="A643" i="3" l="1"/>
  <c r="D643" i="3"/>
  <c r="E643" i="3"/>
  <c r="E56" i="4"/>
  <c r="F56" i="4" s="1"/>
  <c r="E55" i="4"/>
  <c r="F55" i="4" s="1"/>
  <c r="C56" i="4"/>
  <c r="C55" i="4"/>
  <c r="A32" i="6" l="1"/>
  <c r="B32" i="6"/>
  <c r="B33" i="6" s="1"/>
  <c r="E32" i="6"/>
  <c r="A33" i="6"/>
  <c r="E33" i="6"/>
  <c r="C52" i="4" l="1"/>
  <c r="C51" i="4"/>
  <c r="C54" i="4"/>
  <c r="C53" i="4"/>
  <c r="E642" i="3"/>
  <c r="A642" i="3"/>
  <c r="D642" i="3"/>
  <c r="A30" i="6" l="1"/>
  <c r="B30" i="6"/>
  <c r="E30" i="6"/>
  <c r="A31" i="6"/>
  <c r="B31" i="6"/>
  <c r="E31" i="6"/>
  <c r="I30" i="5"/>
  <c r="I31" i="5"/>
  <c r="I32" i="5"/>
  <c r="I33" i="5"/>
  <c r="L31" i="5"/>
  <c r="L32" i="5"/>
  <c r="L33" i="5"/>
  <c r="B30" i="5"/>
  <c r="B31" i="5"/>
  <c r="B32" i="5"/>
  <c r="B33" i="5"/>
  <c r="L30" i="5"/>
  <c r="E50" i="4" l="1"/>
  <c r="E43" i="4"/>
  <c r="E34" i="4"/>
  <c r="E49" i="4"/>
  <c r="C48" i="4" l="1"/>
  <c r="C47" i="4"/>
  <c r="A641" i="3"/>
  <c r="D641" i="3"/>
  <c r="E641" i="3"/>
  <c r="A28" i="6" l="1"/>
  <c r="B28" i="6"/>
  <c r="E28" i="6"/>
  <c r="A29" i="6"/>
  <c r="B29" i="6"/>
  <c r="E29" i="6"/>
  <c r="F50" i="4" l="1"/>
  <c r="C50" i="4"/>
  <c r="F49" i="4"/>
  <c r="C49" i="4"/>
  <c r="C46" i="4"/>
  <c r="A640" i="3"/>
  <c r="D640" i="3"/>
  <c r="E640" i="3"/>
  <c r="A26" i="6" l="1"/>
  <c r="B26" i="6"/>
  <c r="E26" i="6"/>
  <c r="A27" i="6"/>
  <c r="B27" i="6"/>
  <c r="E27" i="6"/>
  <c r="I26" i="5" l="1"/>
  <c r="I27" i="5"/>
  <c r="I28" i="5"/>
  <c r="I29" i="5"/>
  <c r="B29" i="5"/>
  <c r="L29" i="5"/>
  <c r="B28" i="5"/>
  <c r="L28" i="5"/>
  <c r="B27" i="5"/>
  <c r="L27" i="5"/>
  <c r="B26" i="5"/>
  <c r="L26" i="5"/>
  <c r="E42" i="4"/>
  <c r="C41" i="4"/>
  <c r="C40" i="4"/>
  <c r="C45" i="4"/>
  <c r="C44" i="4"/>
  <c r="C39" i="4"/>
  <c r="C38" i="4"/>
  <c r="C37" i="4" l="1"/>
  <c r="E639" i="3" l="1"/>
  <c r="A639" i="3"/>
  <c r="D639" i="3"/>
  <c r="A25" i="6" l="1"/>
  <c r="B25" i="6"/>
  <c r="E25" i="6"/>
  <c r="A24" i="6"/>
  <c r="B24" i="6"/>
  <c r="E24" i="6"/>
  <c r="F43" i="4" l="1"/>
  <c r="C43" i="4"/>
  <c r="F42" i="4"/>
  <c r="C42" i="4"/>
  <c r="C36" i="4"/>
  <c r="C35" i="4"/>
  <c r="E33" i="4"/>
  <c r="D638" i="3"/>
  <c r="E638" i="3"/>
  <c r="A22" i="6" l="1"/>
  <c r="B22" i="6"/>
  <c r="E22" i="6"/>
  <c r="A23" i="6"/>
  <c r="B23" i="6"/>
  <c r="E23" i="6"/>
  <c r="B23" i="5"/>
  <c r="I23" i="5"/>
  <c r="L23" i="5"/>
  <c r="B24" i="5"/>
  <c r="I24" i="5"/>
  <c r="L24" i="5"/>
  <c r="B25" i="5"/>
  <c r="I25" i="5"/>
  <c r="L25" i="5"/>
  <c r="I22" i="5"/>
  <c r="L22" i="5"/>
  <c r="B22" i="5"/>
  <c r="E637" i="3" l="1"/>
  <c r="D637" i="3"/>
  <c r="A21" i="6" l="1"/>
  <c r="B21" i="6"/>
  <c r="E21" i="6"/>
  <c r="A20" i="6"/>
  <c r="B20" i="6"/>
  <c r="E20" i="6"/>
  <c r="C32" i="4" l="1"/>
  <c r="D636" i="3"/>
  <c r="E636" i="3"/>
  <c r="I18" i="5" l="1"/>
  <c r="I19" i="5"/>
  <c r="I20" i="5"/>
  <c r="I21" i="5"/>
  <c r="L19" i="5"/>
  <c r="L20" i="5"/>
  <c r="L21" i="5"/>
  <c r="B18" i="5"/>
  <c r="B19" i="5"/>
  <c r="B20" i="5"/>
  <c r="B21" i="5"/>
  <c r="L18" i="5"/>
  <c r="A18" i="6" l="1"/>
  <c r="B18" i="6"/>
  <c r="E18" i="6"/>
  <c r="A19" i="6"/>
  <c r="B19" i="6"/>
  <c r="E19" i="6"/>
  <c r="F34" i="4"/>
  <c r="C34" i="4"/>
  <c r="F33" i="4"/>
  <c r="C33" i="4"/>
  <c r="C31" i="4" l="1"/>
  <c r="C30" i="4"/>
  <c r="E29" i="4" l="1"/>
  <c r="E28" i="4"/>
  <c r="D635" i="3" l="1"/>
  <c r="E635" i="3"/>
  <c r="C27" i="4" l="1"/>
  <c r="C26" i="4"/>
  <c r="F28" i="4"/>
  <c r="F29" i="4"/>
  <c r="C29" i="4"/>
  <c r="C28" i="4"/>
  <c r="D634" i="3" l="1"/>
  <c r="E634" i="3"/>
  <c r="E14" i="6" l="1"/>
  <c r="E15" i="6"/>
  <c r="E16" i="6"/>
  <c r="E17" i="6"/>
  <c r="I17" i="5"/>
  <c r="L17" i="5"/>
  <c r="B16" i="5"/>
  <c r="B17" i="5"/>
  <c r="I16" i="5"/>
  <c r="L16" i="5"/>
  <c r="B15" i="5"/>
  <c r="I15" i="5"/>
  <c r="L15" i="5"/>
  <c r="B14" i="5"/>
  <c r="I14" i="5"/>
  <c r="L14" i="5"/>
  <c r="C25" i="4"/>
  <c r="C24" i="4"/>
  <c r="E22" i="4" l="1"/>
  <c r="E23" i="4"/>
  <c r="D633" i="3" l="1"/>
  <c r="E633" i="3"/>
  <c r="E12" i="6" l="1"/>
  <c r="E13" i="6"/>
  <c r="C21" i="4" l="1"/>
  <c r="E632" i="3" l="1"/>
  <c r="D632" i="3"/>
  <c r="F23" i="4" l="1"/>
  <c r="F22" i="4"/>
  <c r="C23" i="4"/>
  <c r="C22" i="4"/>
  <c r="I13" i="5" l="1"/>
  <c r="L13" i="5"/>
  <c r="B13" i="5"/>
  <c r="I11" i="5"/>
  <c r="I12" i="5"/>
  <c r="L11" i="5"/>
  <c r="L12" i="5"/>
  <c r="B10" i="5"/>
  <c r="B11" i="5"/>
  <c r="B12" i="5"/>
  <c r="I10" i="5"/>
  <c r="L10" i="5"/>
  <c r="E10" i="6"/>
  <c r="E11" i="6"/>
  <c r="C20" i="4" l="1"/>
  <c r="C19" i="4"/>
  <c r="E18" i="4" l="1"/>
  <c r="F18" i="4" s="1"/>
  <c r="E17" i="4"/>
  <c r="F17" i="4" s="1"/>
  <c r="C18" i="4"/>
  <c r="C17" i="4"/>
  <c r="C16" i="4"/>
  <c r="D631" i="3"/>
  <c r="E631" i="3"/>
  <c r="E8" i="6" l="1"/>
  <c r="E9" i="6"/>
  <c r="D630" i="3" l="1"/>
  <c r="E630" i="3"/>
  <c r="C15" i="4" l="1"/>
  <c r="E6" i="6" l="1"/>
  <c r="E7" i="6"/>
  <c r="I6" i="5" l="1"/>
  <c r="I7" i="5"/>
  <c r="I8" i="5"/>
  <c r="I9" i="5"/>
  <c r="B9" i="5"/>
  <c r="L9" i="5"/>
  <c r="B8" i="5"/>
  <c r="L8" i="5"/>
  <c r="B7" i="5"/>
  <c r="L7" i="5"/>
  <c r="B6" i="5"/>
  <c r="L6" i="5"/>
  <c r="C14" i="4"/>
  <c r="C13" i="4"/>
  <c r="E12" i="4"/>
  <c r="E11" i="4"/>
  <c r="C10" i="4"/>
  <c r="C9" i="4"/>
  <c r="D629" i="3" l="1"/>
  <c r="E629" i="3"/>
  <c r="E4" i="6" l="1"/>
  <c r="E5" i="6"/>
  <c r="E628" i="3" l="1"/>
  <c r="D628" i="3"/>
  <c r="K54" i="9" l="1"/>
  <c r="L54" i="9" s="1"/>
  <c r="M54" i="9" s="1"/>
  <c r="N54" i="9" s="1"/>
  <c r="O54" i="9" s="1"/>
  <c r="P54" i="9" s="1"/>
  <c r="J55" i="9" s="1"/>
  <c r="K55" i="9" s="1"/>
  <c r="L55" i="9" s="1"/>
  <c r="M55" i="9" s="1"/>
  <c r="N55" i="9" s="1"/>
  <c r="O55" i="9" s="1"/>
  <c r="P55" i="9" s="1"/>
  <c r="J56" i="9" s="1"/>
  <c r="K56" i="9" s="1"/>
  <c r="L56" i="9" s="1"/>
  <c r="M56" i="9" s="1"/>
  <c r="N56" i="9" s="1"/>
  <c r="O56" i="9" s="1"/>
  <c r="P56" i="9" s="1"/>
  <c r="J57" i="9" s="1"/>
  <c r="K57" i="9" s="1"/>
  <c r="L57" i="9" s="1"/>
  <c r="M57" i="9" s="1"/>
  <c r="N57" i="9" s="1"/>
  <c r="O57" i="9" s="1"/>
  <c r="P57" i="9" s="1"/>
  <c r="J58" i="9" s="1"/>
  <c r="K58" i="9" s="1"/>
  <c r="L58" i="9" s="1"/>
  <c r="E46" i="9"/>
  <c r="F46" i="9" s="1"/>
  <c r="G46" i="9" s="1"/>
  <c r="K29" i="9"/>
  <c r="L29" i="9" s="1"/>
  <c r="M29" i="9" s="1"/>
  <c r="N29" i="9" s="1"/>
  <c r="G54" i="9"/>
  <c r="H54" i="9" s="1"/>
  <c r="B55" i="9" s="1"/>
  <c r="C55" i="9" s="1"/>
  <c r="D55" i="9" s="1"/>
  <c r="E55" i="9" s="1"/>
  <c r="F55" i="9" s="1"/>
  <c r="G55" i="9" s="1"/>
  <c r="H55" i="9" s="1"/>
  <c r="B56" i="9" s="1"/>
  <c r="C56" i="9" s="1"/>
  <c r="D56" i="9" s="1"/>
  <c r="E56" i="9" s="1"/>
  <c r="F56" i="9" s="1"/>
  <c r="G56" i="9" s="1"/>
  <c r="H56" i="9" s="1"/>
  <c r="B57" i="9" s="1"/>
  <c r="C57" i="9" s="1"/>
  <c r="D57" i="9" s="1"/>
  <c r="E57" i="9" s="1"/>
  <c r="F57" i="9" s="1"/>
  <c r="G57" i="9" s="1"/>
  <c r="H57" i="9" s="1"/>
  <c r="B58" i="9" s="1"/>
  <c r="C58" i="9" s="1"/>
  <c r="D58" i="9" s="1"/>
  <c r="E58" i="9" s="1"/>
  <c r="F58" i="9" s="1"/>
  <c r="G58" i="9" s="1"/>
  <c r="H58" i="9" s="1"/>
  <c r="E12" i="9"/>
  <c r="E4" i="4"/>
  <c r="E3" i="4"/>
  <c r="G3" i="4" s="1"/>
  <c r="C4" i="4"/>
  <c r="C3" i="4"/>
  <c r="G4" i="4" l="1"/>
  <c r="G5" i="4" s="1"/>
  <c r="G6" i="4" s="1"/>
  <c r="G7" i="4" s="1"/>
  <c r="G8" i="4" s="1"/>
  <c r="C6" i="4"/>
  <c r="C5" i="4"/>
  <c r="F12" i="4"/>
  <c r="C12" i="4"/>
  <c r="F11" i="4"/>
  <c r="C11" i="4"/>
  <c r="A3" i="6" l="1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E2" i="6"/>
  <c r="E3" i="6"/>
  <c r="B5" i="5"/>
  <c r="I5" i="5"/>
  <c r="L5" i="5"/>
  <c r="B3" i="5"/>
  <c r="B4" i="5"/>
  <c r="I3" i="5"/>
  <c r="I4" i="5"/>
  <c r="L3" i="5"/>
  <c r="L4" i="5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B2" i="5"/>
  <c r="I2" i="5"/>
  <c r="L2" i="5"/>
  <c r="C8" i="4"/>
  <c r="C7" i="4"/>
  <c r="E627" i="3" l="1"/>
  <c r="D627" i="3"/>
  <c r="E626" i="3" l="1"/>
  <c r="D626" i="3"/>
  <c r="E625" i="3" l="1"/>
  <c r="D625" i="3"/>
  <c r="E624" i="3" l="1"/>
  <c r="D624" i="3"/>
  <c r="E623" i="3" l="1"/>
  <c r="D623" i="3"/>
  <c r="D622" i="3" l="1"/>
  <c r="E622" i="3"/>
  <c r="E616" i="3"/>
  <c r="E617" i="3"/>
  <c r="E618" i="3"/>
  <c r="E619" i="3"/>
  <c r="E620" i="3"/>
  <c r="E621" i="3"/>
  <c r="D621" i="3" l="1"/>
  <c r="D620" i="3" l="1"/>
  <c r="D619" i="3" l="1"/>
  <c r="D618" i="3" l="1"/>
  <c r="D617" i="3" l="1"/>
  <c r="D616" i="3" l="1"/>
  <c r="E615" i="3" l="1"/>
  <c r="D615" i="3"/>
  <c r="E614" i="3" l="1"/>
  <c r="D614" i="3"/>
  <c r="D613" i="3" l="1"/>
  <c r="E613" i="3"/>
  <c r="E612" i="3" l="1"/>
  <c r="D612" i="3"/>
  <c r="E611" i="3" l="1"/>
  <c r="D611" i="3"/>
  <c r="E610" i="3" l="1"/>
  <c r="D610" i="3"/>
  <c r="D609" i="3" l="1"/>
  <c r="E609" i="3"/>
  <c r="E608" i="3" l="1"/>
  <c r="D608" i="3"/>
  <c r="P3" i="9" l="1"/>
  <c r="J4" i="9" s="1"/>
  <c r="K4" i="9" s="1"/>
  <c r="L4" i="9" s="1"/>
  <c r="M4" i="9" s="1"/>
  <c r="N4" i="9" s="1"/>
  <c r="O4" i="9" s="1"/>
  <c r="P4" i="9" s="1"/>
  <c r="J5" i="9" s="1"/>
  <c r="K5" i="9" s="1"/>
  <c r="L5" i="9" s="1"/>
  <c r="M5" i="9" s="1"/>
  <c r="N5" i="9" s="1"/>
  <c r="O5" i="9" s="1"/>
  <c r="P5" i="9" s="1"/>
  <c r="J6" i="9" s="1"/>
  <c r="K6" i="9" s="1"/>
  <c r="L6" i="9" s="1"/>
  <c r="M6" i="9" s="1"/>
  <c r="N6" i="9" s="1"/>
  <c r="O6" i="9" s="1"/>
  <c r="P6" i="9" s="1"/>
  <c r="J7" i="9" s="1"/>
  <c r="K7" i="9" s="1"/>
  <c r="L7" i="9" s="1"/>
  <c r="M7" i="9" s="1"/>
  <c r="N7" i="9" s="1"/>
  <c r="O7" i="9" s="1"/>
  <c r="P7" i="9" s="1"/>
  <c r="J8" i="9" s="1"/>
  <c r="F3" i="9"/>
  <c r="G3" i="9" s="1"/>
  <c r="H3" i="9" s="1"/>
  <c r="B4" i="9" s="1"/>
  <c r="C4" i="9" s="1"/>
  <c r="D4" i="9" s="1"/>
  <c r="E4" i="9" s="1"/>
  <c r="F4" i="9" s="1"/>
  <c r="G4" i="9" s="1"/>
  <c r="H4" i="9" s="1"/>
  <c r="B5" i="9" s="1"/>
  <c r="C5" i="9" s="1"/>
  <c r="D5" i="9" s="1"/>
  <c r="E5" i="9" s="1"/>
  <c r="F5" i="9" s="1"/>
  <c r="G5" i="9" s="1"/>
  <c r="H5" i="9" s="1"/>
  <c r="B6" i="9" s="1"/>
  <c r="C6" i="9" s="1"/>
  <c r="D6" i="9" s="1"/>
  <c r="E6" i="9" s="1"/>
  <c r="F6" i="9" s="1"/>
  <c r="G6" i="9" s="1"/>
  <c r="H6" i="9" s="1"/>
  <c r="B7" i="9" s="1"/>
  <c r="C7" i="9" s="1"/>
  <c r="D7" i="9" s="1"/>
  <c r="E7" i="9" s="1"/>
  <c r="F7" i="9" s="1"/>
  <c r="G7" i="9" s="1"/>
  <c r="E607" i="3"/>
  <c r="D607" i="3"/>
  <c r="D606" i="3" l="1"/>
  <c r="E606" i="3"/>
  <c r="D605" i="3" l="1"/>
  <c r="E605" i="3"/>
  <c r="D604" i="3" l="1"/>
  <c r="E604" i="3"/>
  <c r="E603" i="3" l="1"/>
  <c r="D603" i="3"/>
  <c r="D602" i="3" l="1"/>
  <c r="E602" i="3"/>
  <c r="D601" i="3" l="1"/>
  <c r="E601" i="3"/>
  <c r="E600" i="3" l="1"/>
  <c r="D600" i="3"/>
  <c r="D599" i="3" l="1"/>
  <c r="E599" i="3"/>
  <c r="E598" i="3" l="1"/>
  <c r="D598" i="3"/>
  <c r="D597" i="3" l="1"/>
  <c r="E597" i="3"/>
  <c r="E596" i="3" l="1"/>
  <c r="D596" i="3"/>
  <c r="D595" i="3" l="1"/>
  <c r="E595" i="3"/>
  <c r="E594" i="3" l="1"/>
  <c r="D594" i="3"/>
  <c r="D593" i="3" l="1"/>
  <c r="E593" i="3"/>
  <c r="E592" i="3" l="1"/>
  <c r="D592" i="3"/>
  <c r="E591" i="3" l="1"/>
  <c r="D591" i="3"/>
  <c r="D590" i="3" l="1"/>
  <c r="E590" i="3"/>
  <c r="E589" i="3" l="1"/>
  <c r="D589" i="3"/>
  <c r="D588" i="3" l="1"/>
  <c r="E588" i="3"/>
  <c r="L46" i="9" l="1"/>
  <c r="M46" i="9" s="1"/>
  <c r="N46" i="9" s="1"/>
  <c r="O46" i="9" s="1"/>
  <c r="P46" i="9" s="1"/>
  <c r="J47" i="9" s="1"/>
  <c r="K47" i="9" s="1"/>
  <c r="L47" i="9" s="1"/>
  <c r="M47" i="9" s="1"/>
  <c r="N47" i="9" s="1"/>
  <c r="O47" i="9" s="1"/>
  <c r="P47" i="9" s="1"/>
  <c r="J48" i="9" s="1"/>
  <c r="K48" i="9" s="1"/>
  <c r="L48" i="9" s="1"/>
  <c r="M48" i="9" s="1"/>
  <c r="N48" i="9" s="1"/>
  <c r="O48" i="9" s="1"/>
  <c r="P48" i="9" s="1"/>
  <c r="J49" i="9" s="1"/>
  <c r="K49" i="9" s="1"/>
  <c r="L49" i="9" s="1"/>
  <c r="M49" i="9" s="1"/>
  <c r="N49" i="9" s="1"/>
  <c r="O49" i="9" s="1"/>
  <c r="P49" i="9" s="1"/>
  <c r="H46" i="9"/>
  <c r="B47" i="9" s="1"/>
  <c r="C47" i="9" s="1"/>
  <c r="D47" i="9" s="1"/>
  <c r="E47" i="9" s="1"/>
  <c r="F47" i="9" s="1"/>
  <c r="G47" i="9" s="1"/>
  <c r="H47" i="9" s="1"/>
  <c r="B48" i="9" s="1"/>
  <c r="C48" i="9" s="1"/>
  <c r="D48" i="9" s="1"/>
  <c r="E48" i="9" s="1"/>
  <c r="F48" i="9" s="1"/>
  <c r="G48" i="9" s="1"/>
  <c r="H48" i="9" s="1"/>
  <c r="B49" i="9" s="1"/>
  <c r="C49" i="9" s="1"/>
  <c r="D49" i="9" s="1"/>
  <c r="E49" i="9" s="1"/>
  <c r="F49" i="9" s="1"/>
  <c r="G49" i="9" s="1"/>
  <c r="H49" i="9" s="1"/>
  <c r="B50" i="9" s="1"/>
  <c r="C50" i="9" s="1"/>
  <c r="D50" i="9" s="1"/>
  <c r="E50" i="9" s="1"/>
  <c r="D587" i="3"/>
  <c r="E587" i="3"/>
  <c r="K8" i="9" l="1"/>
  <c r="J50" i="9"/>
  <c r="K50" i="9" s="1"/>
  <c r="L50" i="9" s="1"/>
  <c r="M50" i="9" s="1"/>
  <c r="N50" i="9" s="1"/>
  <c r="E586" i="3" l="1"/>
  <c r="D586" i="3"/>
  <c r="E585" i="3" l="1"/>
  <c r="D585" i="3"/>
  <c r="E584" i="3" l="1"/>
  <c r="D584" i="3"/>
  <c r="E583" i="3" l="1"/>
  <c r="D583" i="3"/>
  <c r="D582" i="3" l="1"/>
  <c r="E582" i="3"/>
  <c r="E581" i="3" l="1"/>
  <c r="D581" i="3"/>
  <c r="E580" i="3" l="1"/>
  <c r="D580" i="3"/>
  <c r="D579" i="3" l="1"/>
  <c r="E579" i="3"/>
  <c r="D578" i="3" l="1"/>
  <c r="E578" i="3"/>
  <c r="D577" i="3" l="1"/>
  <c r="E577" i="3"/>
  <c r="E576" i="3" l="1"/>
  <c r="D576" i="3"/>
  <c r="E575" i="3" l="1"/>
  <c r="D575" i="3"/>
  <c r="E574" i="3" l="1"/>
  <c r="D574" i="3"/>
  <c r="E573" i="3" l="1"/>
  <c r="D573" i="3"/>
  <c r="E572" i="3" l="1"/>
  <c r="D572" i="3"/>
  <c r="P37" i="9" l="1"/>
  <c r="J38" i="9" s="1"/>
  <c r="K38" i="9" s="1"/>
  <c r="L38" i="9" s="1"/>
  <c r="M38" i="9" s="1"/>
  <c r="N38" i="9" s="1"/>
  <c r="O38" i="9" s="1"/>
  <c r="P38" i="9" s="1"/>
  <c r="J39" i="9" s="1"/>
  <c r="K39" i="9" s="1"/>
  <c r="L39" i="9" s="1"/>
  <c r="M39" i="9" s="1"/>
  <c r="N39" i="9" s="1"/>
  <c r="O39" i="9" s="1"/>
  <c r="P39" i="9" s="1"/>
  <c r="J40" i="9" s="1"/>
  <c r="K40" i="9" s="1"/>
  <c r="L40" i="9" s="1"/>
  <c r="M40" i="9" s="1"/>
  <c r="N40" i="9" s="1"/>
  <c r="O40" i="9" s="1"/>
  <c r="P40" i="9" s="1"/>
  <c r="J41" i="9" s="1"/>
  <c r="K41" i="9" s="1"/>
  <c r="L41" i="9" s="1"/>
  <c r="M41" i="9" s="1"/>
  <c r="N41" i="9" s="1"/>
  <c r="O41" i="9" s="1"/>
  <c r="P41" i="9" s="1"/>
  <c r="J42" i="9" s="1"/>
  <c r="K42" i="9" s="1"/>
  <c r="E37" i="9"/>
  <c r="F37" i="9" s="1"/>
  <c r="G37" i="9" s="1"/>
  <c r="H37" i="9" s="1"/>
  <c r="B38" i="9" s="1"/>
  <c r="C38" i="9" s="1"/>
  <c r="D38" i="9" s="1"/>
  <c r="E38" i="9" s="1"/>
  <c r="F38" i="9" s="1"/>
  <c r="G38" i="9" s="1"/>
  <c r="H38" i="9" s="1"/>
  <c r="B39" i="9" s="1"/>
  <c r="C39" i="9" s="1"/>
  <c r="D39" i="9" s="1"/>
  <c r="E39" i="9" s="1"/>
  <c r="F39" i="9" s="1"/>
  <c r="G39" i="9" s="1"/>
  <c r="H39" i="9" s="1"/>
  <c r="B40" i="9" s="1"/>
  <c r="C40" i="9" s="1"/>
  <c r="D40" i="9" s="1"/>
  <c r="E40" i="9" s="1"/>
  <c r="F40" i="9" s="1"/>
  <c r="G40" i="9" s="1"/>
  <c r="H40" i="9" s="1"/>
  <c r="B41" i="9" s="1"/>
  <c r="C41" i="9" s="1"/>
  <c r="D41" i="9" s="1"/>
  <c r="E41" i="9" s="1"/>
  <c r="F41" i="9" s="1"/>
  <c r="G41" i="9" s="1"/>
  <c r="D571" i="3" l="1"/>
  <c r="E571" i="3"/>
  <c r="D570" i="3" l="1"/>
  <c r="E570" i="3"/>
  <c r="D569" i="3" l="1"/>
  <c r="E569" i="3"/>
  <c r="E568" i="3" l="1"/>
  <c r="D568" i="3"/>
  <c r="E567" i="3" l="1"/>
  <c r="D567" i="3"/>
  <c r="E566" i="3" l="1"/>
  <c r="D566" i="3"/>
  <c r="D565" i="3" l="1"/>
  <c r="E565" i="3"/>
  <c r="D564" i="3" l="1"/>
  <c r="E564" i="3"/>
  <c r="A3" i="3" l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D563" i="3"/>
  <c r="E563" i="3"/>
  <c r="D562" i="3"/>
  <c r="E562" i="3"/>
  <c r="E561" i="3"/>
  <c r="D561" i="3"/>
  <c r="D559" i="3"/>
  <c r="E559" i="3"/>
  <c r="D560" i="3"/>
  <c r="E560" i="3"/>
  <c r="E558" i="3"/>
  <c r="D558" i="3"/>
  <c r="E557" i="3"/>
  <c r="D557" i="3"/>
  <c r="D556" i="3"/>
  <c r="E556" i="3"/>
  <c r="E555" i="3"/>
  <c r="D555" i="3"/>
  <c r="D554" i="3"/>
  <c r="E554" i="3"/>
  <c r="E553" i="3"/>
  <c r="D553" i="3"/>
  <c r="E552" i="3"/>
  <c r="D552" i="3"/>
  <c r="E551" i="3"/>
  <c r="D551" i="3"/>
  <c r="O29" i="9"/>
  <c r="P29" i="9" s="1"/>
  <c r="J30" i="9" s="1"/>
  <c r="K30" i="9" s="1"/>
  <c r="L30" i="9" s="1"/>
  <c r="M30" i="9" s="1"/>
  <c r="N30" i="9" s="1"/>
  <c r="O30" i="9" s="1"/>
  <c r="P30" i="9" s="1"/>
  <c r="J31" i="9" s="1"/>
  <c r="K31" i="9" s="1"/>
  <c r="L31" i="9" s="1"/>
  <c r="M31" i="9" s="1"/>
  <c r="N31" i="9" s="1"/>
  <c r="O31" i="9" s="1"/>
  <c r="P31" i="9" s="1"/>
  <c r="J32" i="9" s="1"/>
  <c r="K32" i="9" s="1"/>
  <c r="L32" i="9" s="1"/>
  <c r="M32" i="9" s="1"/>
  <c r="N32" i="9" s="1"/>
  <c r="O32" i="9" s="1"/>
  <c r="P32" i="9" s="1"/>
  <c r="J33" i="9" s="1"/>
  <c r="K33" i="9" s="1"/>
  <c r="L33" i="9" s="1"/>
  <c r="F29" i="9"/>
  <c r="G29" i="9" s="1"/>
  <c r="H29" i="9" s="1"/>
  <c r="B30" i="9" s="1"/>
  <c r="C30" i="9" s="1"/>
  <c r="D30" i="9" s="1"/>
  <c r="E30" i="9" s="1"/>
  <c r="F30" i="9" s="1"/>
  <c r="G30" i="9" s="1"/>
  <c r="H30" i="9" s="1"/>
  <c r="B31" i="9" s="1"/>
  <c r="C31" i="9" s="1"/>
  <c r="D31" i="9" s="1"/>
  <c r="E31" i="9" s="1"/>
  <c r="F31" i="9" s="1"/>
  <c r="G31" i="9" s="1"/>
  <c r="H31" i="9" s="1"/>
  <c r="B32" i="9" s="1"/>
  <c r="C32" i="9" s="1"/>
  <c r="D32" i="9" s="1"/>
  <c r="E32" i="9" s="1"/>
  <c r="F32" i="9" s="1"/>
  <c r="G32" i="9" s="1"/>
  <c r="H32" i="9" s="1"/>
  <c r="B33" i="9" s="1"/>
  <c r="C33" i="9" s="1"/>
  <c r="D33" i="9" s="1"/>
  <c r="E33" i="9" s="1"/>
  <c r="F33" i="9" s="1"/>
  <c r="G33" i="9" s="1"/>
  <c r="H33" i="9" s="1"/>
  <c r="E550" i="3"/>
  <c r="D550" i="3"/>
  <c r="D549" i="3"/>
  <c r="E549" i="3"/>
  <c r="E548" i="3"/>
  <c r="D548" i="3"/>
  <c r="H20" i="9"/>
  <c r="B21" i="9" s="1"/>
  <c r="C21" i="9" s="1"/>
  <c r="D21" i="9" s="1"/>
  <c r="E21" i="9" s="1"/>
  <c r="F21" i="9" s="1"/>
  <c r="G21" i="9" s="1"/>
  <c r="H21" i="9" s="1"/>
  <c r="B22" i="9" s="1"/>
  <c r="C22" i="9" s="1"/>
  <c r="D22" i="9" s="1"/>
  <c r="E22" i="9" s="1"/>
  <c r="F22" i="9" s="1"/>
  <c r="G22" i="9" s="1"/>
  <c r="H22" i="9" s="1"/>
  <c r="B23" i="9" s="1"/>
  <c r="C23" i="9" s="1"/>
  <c r="D23" i="9" s="1"/>
  <c r="E23" i="9" s="1"/>
  <c r="F23" i="9" s="1"/>
  <c r="G23" i="9" s="1"/>
  <c r="H23" i="9" s="1"/>
  <c r="B24" i="9" s="1"/>
  <c r="C24" i="9" s="1"/>
  <c r="D24" i="9" s="1"/>
  <c r="E24" i="9" s="1"/>
  <c r="F24" i="9" s="1"/>
  <c r="G24" i="9" s="1"/>
  <c r="H24" i="9" s="1"/>
  <c r="B25" i="9" s="1"/>
  <c r="C25" i="9" s="1"/>
  <c r="E547" i="3"/>
  <c r="D547" i="3"/>
  <c r="E546" i="3"/>
  <c r="D546" i="3"/>
  <c r="D545" i="3"/>
  <c r="E545" i="3"/>
  <c r="E544" i="3"/>
  <c r="D544" i="3"/>
  <c r="E543" i="3"/>
  <c r="D543" i="3"/>
  <c r="D542" i="3"/>
  <c r="E542" i="3"/>
  <c r="D541" i="3"/>
  <c r="E541" i="3"/>
  <c r="E540" i="3"/>
  <c r="D540" i="3"/>
  <c r="E539" i="3"/>
  <c r="D539" i="3"/>
  <c r="D538" i="3"/>
  <c r="E538" i="3"/>
  <c r="E537" i="3"/>
  <c r="D537" i="3"/>
  <c r="E536" i="3"/>
  <c r="D536" i="3"/>
  <c r="D535" i="3"/>
  <c r="E535" i="3"/>
  <c r="L20" i="9"/>
  <c r="M20" i="9" s="1"/>
  <c r="N20" i="9" s="1"/>
  <c r="O20" i="9" s="1"/>
  <c r="P20" i="9" s="1"/>
  <c r="J21" i="9" s="1"/>
  <c r="K21" i="9" s="1"/>
  <c r="L21" i="9" s="1"/>
  <c r="M21" i="9" s="1"/>
  <c r="N21" i="9" s="1"/>
  <c r="O21" i="9" s="1"/>
  <c r="P21" i="9" s="1"/>
  <c r="J22" i="9" s="1"/>
  <c r="K22" i="9" s="1"/>
  <c r="L22" i="9" s="1"/>
  <c r="M22" i="9" s="1"/>
  <c r="N22" i="9" s="1"/>
  <c r="O22" i="9" s="1"/>
  <c r="P22" i="9" s="1"/>
  <c r="J23" i="9" s="1"/>
  <c r="K23" i="9" s="1"/>
  <c r="L23" i="9" s="1"/>
  <c r="M23" i="9" s="1"/>
  <c r="N23" i="9" s="1"/>
  <c r="O23" i="9" s="1"/>
  <c r="P23" i="9" s="1"/>
  <c r="J24" i="9" s="1"/>
  <c r="K24" i="9" s="1"/>
  <c r="L24" i="9" s="1"/>
  <c r="M24" i="9" s="1"/>
  <c r="D534" i="3"/>
  <c r="E534" i="3"/>
  <c r="E533" i="3"/>
  <c r="D533" i="3"/>
  <c r="E532" i="3"/>
  <c r="D532" i="3"/>
  <c r="E531" i="3"/>
  <c r="D531" i="3"/>
  <c r="D530" i="3"/>
  <c r="E530" i="3"/>
  <c r="E529" i="3"/>
  <c r="D529" i="3"/>
  <c r="E528" i="3"/>
  <c r="D528" i="3"/>
  <c r="D527" i="3"/>
  <c r="E527" i="3"/>
  <c r="D526" i="3"/>
  <c r="E526" i="3"/>
  <c r="E525" i="3"/>
  <c r="D525" i="3"/>
  <c r="E524" i="3"/>
  <c r="D524" i="3"/>
  <c r="O12" i="9"/>
  <c r="P12" i="9" s="1"/>
  <c r="J13" i="9" s="1"/>
  <c r="K13" i="9" s="1"/>
  <c r="L13" i="9" s="1"/>
  <c r="M13" i="9" s="1"/>
  <c r="N13" i="9" s="1"/>
  <c r="O13" i="9" s="1"/>
  <c r="P13" i="9" s="1"/>
  <c r="J14" i="9" s="1"/>
  <c r="K14" i="9" s="1"/>
  <c r="L14" i="9" s="1"/>
  <c r="M14" i="9" s="1"/>
  <c r="N14" i="9" s="1"/>
  <c r="O14" i="9" s="1"/>
  <c r="P14" i="9" s="1"/>
  <c r="J15" i="9" s="1"/>
  <c r="K15" i="9" s="1"/>
  <c r="L15" i="9" s="1"/>
  <c r="M15" i="9" s="1"/>
  <c r="N15" i="9" s="1"/>
  <c r="O15" i="9" s="1"/>
  <c r="P15" i="9" s="1"/>
  <c r="J16" i="9" s="1"/>
  <c r="K16" i="9" s="1"/>
  <c r="L16" i="9" s="1"/>
  <c r="M16" i="9" s="1"/>
  <c r="N16" i="9" s="1"/>
  <c r="O16" i="9" s="1"/>
  <c r="F12" i="9"/>
  <c r="G12" i="9" s="1"/>
  <c r="H12" i="9" s="1"/>
  <c r="B13" i="9" s="1"/>
  <c r="C13" i="9" s="1"/>
  <c r="D13" i="9" s="1"/>
  <c r="E13" i="9" s="1"/>
  <c r="F13" i="9" s="1"/>
  <c r="G13" i="9" s="1"/>
  <c r="H13" i="9" s="1"/>
  <c r="B14" i="9" s="1"/>
  <c r="C14" i="9" s="1"/>
  <c r="D14" i="9" s="1"/>
  <c r="E14" i="9" s="1"/>
  <c r="F14" i="9" s="1"/>
  <c r="G14" i="9" s="1"/>
  <c r="H14" i="9" s="1"/>
  <c r="B15" i="9" s="1"/>
  <c r="C15" i="9" s="1"/>
  <c r="D15" i="9" s="1"/>
  <c r="E15" i="9" s="1"/>
  <c r="F15" i="9" s="1"/>
  <c r="G15" i="9" s="1"/>
  <c r="H15" i="9" s="1"/>
  <c r="B16" i="9" s="1"/>
  <c r="C16" i="9" s="1"/>
  <c r="D16" i="9" s="1"/>
  <c r="E16" i="9" s="1"/>
  <c r="F16" i="9" s="1"/>
  <c r="D523" i="3"/>
  <c r="E523" i="3"/>
  <c r="D522" i="3"/>
  <c r="E522" i="3"/>
  <c r="D521" i="3"/>
  <c r="E521" i="3"/>
  <c r="E520" i="3"/>
  <c r="D520" i="3"/>
  <c r="E519" i="3"/>
  <c r="D519" i="3"/>
  <c r="D518" i="3"/>
  <c r="E518" i="3"/>
  <c r="E517" i="3"/>
  <c r="D517" i="3"/>
  <c r="E516" i="3"/>
  <c r="D516" i="3"/>
  <c r="E515" i="3"/>
  <c r="D515" i="3"/>
  <c r="D514" i="3"/>
  <c r="E514" i="3"/>
  <c r="D513" i="3"/>
  <c r="E513" i="3"/>
  <c r="D512" i="3"/>
  <c r="E512" i="3"/>
  <c r="D508" i="3"/>
  <c r="E508" i="3"/>
  <c r="D509" i="3"/>
  <c r="E509" i="3"/>
  <c r="D510" i="3"/>
  <c r="E510" i="3"/>
  <c r="D511" i="3"/>
  <c r="E511" i="3"/>
  <c r="E507" i="3"/>
  <c r="D507" i="3"/>
  <c r="D506" i="3"/>
  <c r="E506" i="3"/>
  <c r="T8" i="3"/>
  <c r="T3" i="3"/>
  <c r="T4" i="3"/>
  <c r="T7" i="3"/>
  <c r="T9" i="3"/>
  <c r="T6" i="3"/>
  <c r="T5" i="3"/>
  <c r="T2" i="3"/>
  <c r="T11" i="3"/>
  <c r="T10" i="3"/>
  <c r="D505" i="3"/>
  <c r="E505" i="3"/>
  <c r="E504" i="3"/>
  <c r="D504" i="3"/>
  <c r="E503" i="3"/>
  <c r="D503" i="3"/>
  <c r="E502" i="3"/>
  <c r="D502" i="3"/>
  <c r="D501" i="3"/>
  <c r="E501" i="3"/>
  <c r="D500" i="3"/>
  <c r="E500" i="3"/>
  <c r="E499" i="3"/>
  <c r="D499" i="3"/>
  <c r="D498" i="3"/>
  <c r="E498" i="3"/>
  <c r="D497" i="3"/>
  <c r="E497" i="3"/>
  <c r="E496" i="3"/>
  <c r="D496" i="3"/>
  <c r="E495" i="3"/>
  <c r="D495" i="3"/>
  <c r="E494" i="3"/>
  <c r="D494" i="3"/>
  <c r="D2" i="3"/>
  <c r="E2" i="3"/>
  <c r="C3" i="3"/>
  <c r="C4" i="3"/>
  <c r="D106" i="3"/>
  <c r="E106" i="3"/>
  <c r="C107" i="3"/>
  <c r="C109" i="3" s="1"/>
  <c r="C108" i="3"/>
  <c r="D108" i="3" s="1"/>
  <c r="D137" i="3"/>
  <c r="E137" i="3"/>
  <c r="D138" i="3"/>
  <c r="E138" i="3"/>
  <c r="D139" i="3"/>
  <c r="E139" i="3"/>
  <c r="D140" i="3"/>
  <c r="E140" i="3"/>
  <c r="D141" i="3"/>
  <c r="E141" i="3"/>
  <c r="D142" i="3"/>
  <c r="E142" i="3"/>
  <c r="D143" i="3"/>
  <c r="E143" i="3"/>
  <c r="D144" i="3"/>
  <c r="E144" i="3"/>
  <c r="D145" i="3"/>
  <c r="E145" i="3"/>
  <c r="D146" i="3"/>
  <c r="E146" i="3"/>
  <c r="D147" i="3"/>
  <c r="E147" i="3"/>
  <c r="D148" i="3"/>
  <c r="E148" i="3"/>
  <c r="D149" i="3"/>
  <c r="E149" i="3"/>
  <c r="D150" i="3"/>
  <c r="E150" i="3"/>
  <c r="D151" i="3"/>
  <c r="E151" i="3"/>
  <c r="D152" i="3"/>
  <c r="E152" i="3"/>
  <c r="D153" i="3"/>
  <c r="E153" i="3"/>
  <c r="D154" i="3"/>
  <c r="E154" i="3"/>
  <c r="D155" i="3"/>
  <c r="E155" i="3"/>
  <c r="D156" i="3"/>
  <c r="E156" i="3"/>
  <c r="D157" i="3"/>
  <c r="E157" i="3"/>
  <c r="D158" i="3"/>
  <c r="E158" i="3"/>
  <c r="D159" i="3"/>
  <c r="E159" i="3"/>
  <c r="D160" i="3"/>
  <c r="E160" i="3"/>
  <c r="D161" i="3"/>
  <c r="E161" i="3"/>
  <c r="D162" i="3"/>
  <c r="E162" i="3"/>
  <c r="D163" i="3"/>
  <c r="E163" i="3"/>
  <c r="D164" i="3"/>
  <c r="E164" i="3"/>
  <c r="D165" i="3"/>
  <c r="E165" i="3"/>
  <c r="D166" i="3"/>
  <c r="E166" i="3"/>
  <c r="D167" i="3"/>
  <c r="E167" i="3"/>
  <c r="D168" i="3"/>
  <c r="E168" i="3"/>
  <c r="D169" i="3"/>
  <c r="E169" i="3"/>
  <c r="D170" i="3"/>
  <c r="E170" i="3"/>
  <c r="D171" i="3"/>
  <c r="E171" i="3"/>
  <c r="D172" i="3"/>
  <c r="E172" i="3"/>
  <c r="D173" i="3"/>
  <c r="E173" i="3"/>
  <c r="D174" i="3"/>
  <c r="E174" i="3"/>
  <c r="D175" i="3"/>
  <c r="E175" i="3"/>
  <c r="D176" i="3"/>
  <c r="E176" i="3"/>
  <c r="D177" i="3"/>
  <c r="E177" i="3"/>
  <c r="D178" i="3"/>
  <c r="E178" i="3"/>
  <c r="D179" i="3"/>
  <c r="E179" i="3"/>
  <c r="D180" i="3"/>
  <c r="E180" i="3"/>
  <c r="D181" i="3"/>
  <c r="E181" i="3"/>
  <c r="D182" i="3"/>
  <c r="E182" i="3"/>
  <c r="D183" i="3"/>
  <c r="E183" i="3"/>
  <c r="D184" i="3"/>
  <c r="E184" i="3"/>
  <c r="D185" i="3"/>
  <c r="E185" i="3"/>
  <c r="D186" i="3"/>
  <c r="E186" i="3"/>
  <c r="D187" i="3"/>
  <c r="E187" i="3"/>
  <c r="D188" i="3"/>
  <c r="E188" i="3"/>
  <c r="D189" i="3"/>
  <c r="E189" i="3"/>
  <c r="D190" i="3"/>
  <c r="E190" i="3"/>
  <c r="D191" i="3"/>
  <c r="E191" i="3"/>
  <c r="D192" i="3"/>
  <c r="E192" i="3"/>
  <c r="D193" i="3"/>
  <c r="E193" i="3"/>
  <c r="D194" i="3"/>
  <c r="E194" i="3"/>
  <c r="D195" i="3"/>
  <c r="E195" i="3"/>
  <c r="D196" i="3"/>
  <c r="E196" i="3"/>
  <c r="D197" i="3"/>
  <c r="E197" i="3"/>
  <c r="D198" i="3"/>
  <c r="E198" i="3"/>
  <c r="D199" i="3"/>
  <c r="E199" i="3"/>
  <c r="D200" i="3"/>
  <c r="E200" i="3"/>
  <c r="D201" i="3"/>
  <c r="E201" i="3"/>
  <c r="D202" i="3"/>
  <c r="E202" i="3"/>
  <c r="D203" i="3"/>
  <c r="E203" i="3"/>
  <c r="D204" i="3"/>
  <c r="E204" i="3"/>
  <c r="D205" i="3"/>
  <c r="E205" i="3"/>
  <c r="D206" i="3"/>
  <c r="E206" i="3"/>
  <c r="D207" i="3"/>
  <c r="E207" i="3"/>
  <c r="D208" i="3"/>
  <c r="E208" i="3"/>
  <c r="D209" i="3"/>
  <c r="E209" i="3"/>
  <c r="D210" i="3"/>
  <c r="E210" i="3"/>
  <c r="D211" i="3"/>
  <c r="E211" i="3"/>
  <c r="D212" i="3"/>
  <c r="E212" i="3"/>
  <c r="D213" i="3"/>
  <c r="E213" i="3"/>
  <c r="D214" i="3"/>
  <c r="E214" i="3"/>
  <c r="D215" i="3"/>
  <c r="E215" i="3"/>
  <c r="D216" i="3"/>
  <c r="E216" i="3"/>
  <c r="D217" i="3"/>
  <c r="E217" i="3"/>
  <c r="D218" i="3"/>
  <c r="E218" i="3"/>
  <c r="D219" i="3"/>
  <c r="E219" i="3"/>
  <c r="D220" i="3"/>
  <c r="E220" i="3"/>
  <c r="D221" i="3"/>
  <c r="E221" i="3"/>
  <c r="D222" i="3"/>
  <c r="E222" i="3"/>
  <c r="D223" i="3"/>
  <c r="E223" i="3"/>
  <c r="D224" i="3"/>
  <c r="E224" i="3"/>
  <c r="D225" i="3"/>
  <c r="E225" i="3"/>
  <c r="D226" i="3"/>
  <c r="E226" i="3"/>
  <c r="D227" i="3"/>
  <c r="E227" i="3"/>
  <c r="D228" i="3"/>
  <c r="E228" i="3"/>
  <c r="D229" i="3"/>
  <c r="E229" i="3"/>
  <c r="D230" i="3"/>
  <c r="E230" i="3"/>
  <c r="D231" i="3"/>
  <c r="E231" i="3"/>
  <c r="D232" i="3"/>
  <c r="E232" i="3"/>
  <c r="D233" i="3"/>
  <c r="E233" i="3"/>
  <c r="D234" i="3"/>
  <c r="E234" i="3"/>
  <c r="D235" i="3"/>
  <c r="E235" i="3"/>
  <c r="D236" i="3"/>
  <c r="E236" i="3"/>
  <c r="D237" i="3"/>
  <c r="E237" i="3"/>
  <c r="D238" i="3"/>
  <c r="E238" i="3"/>
  <c r="D239" i="3"/>
  <c r="E239" i="3"/>
  <c r="D240" i="3"/>
  <c r="E240" i="3"/>
  <c r="D241" i="3"/>
  <c r="E241" i="3"/>
  <c r="D242" i="3"/>
  <c r="E242" i="3"/>
  <c r="D243" i="3"/>
  <c r="E243" i="3"/>
  <c r="D244" i="3"/>
  <c r="E244" i="3"/>
  <c r="D245" i="3"/>
  <c r="E245" i="3"/>
  <c r="D246" i="3"/>
  <c r="E246" i="3"/>
  <c r="D247" i="3"/>
  <c r="E247" i="3"/>
  <c r="D248" i="3"/>
  <c r="E248" i="3"/>
  <c r="D249" i="3"/>
  <c r="E249" i="3"/>
  <c r="D250" i="3"/>
  <c r="E250" i="3"/>
  <c r="D251" i="3"/>
  <c r="E251" i="3"/>
  <c r="D252" i="3"/>
  <c r="E252" i="3"/>
  <c r="D253" i="3"/>
  <c r="E253" i="3"/>
  <c r="D254" i="3"/>
  <c r="E254" i="3"/>
  <c r="D255" i="3"/>
  <c r="E255" i="3"/>
  <c r="D256" i="3"/>
  <c r="E256" i="3"/>
  <c r="D257" i="3"/>
  <c r="E257" i="3"/>
  <c r="D258" i="3"/>
  <c r="E258" i="3"/>
  <c r="D259" i="3"/>
  <c r="E259" i="3"/>
  <c r="D260" i="3"/>
  <c r="E260" i="3"/>
  <c r="D261" i="3"/>
  <c r="E261" i="3"/>
  <c r="D262" i="3"/>
  <c r="E262" i="3"/>
  <c r="D263" i="3"/>
  <c r="E263" i="3"/>
  <c r="D264" i="3"/>
  <c r="E264" i="3"/>
  <c r="D265" i="3"/>
  <c r="E265" i="3"/>
  <c r="D266" i="3"/>
  <c r="E266" i="3"/>
  <c r="D267" i="3"/>
  <c r="E267" i="3"/>
  <c r="D268" i="3"/>
  <c r="E268" i="3"/>
  <c r="D269" i="3"/>
  <c r="E269" i="3"/>
  <c r="D270" i="3"/>
  <c r="E270" i="3"/>
  <c r="D271" i="3"/>
  <c r="E271" i="3"/>
  <c r="D272" i="3"/>
  <c r="E272" i="3"/>
  <c r="D273" i="3"/>
  <c r="E273" i="3"/>
  <c r="D274" i="3"/>
  <c r="E274" i="3"/>
  <c r="D275" i="3"/>
  <c r="E275" i="3"/>
  <c r="D276" i="3"/>
  <c r="E276" i="3"/>
  <c r="D277" i="3"/>
  <c r="E277" i="3"/>
  <c r="D278" i="3"/>
  <c r="E278" i="3"/>
  <c r="D279" i="3"/>
  <c r="E279" i="3"/>
  <c r="D280" i="3"/>
  <c r="E280" i="3"/>
  <c r="D281" i="3"/>
  <c r="E281" i="3"/>
  <c r="D282" i="3"/>
  <c r="E282" i="3"/>
  <c r="D283" i="3"/>
  <c r="E283" i="3"/>
  <c r="D284" i="3"/>
  <c r="E284" i="3"/>
  <c r="D285" i="3"/>
  <c r="E285" i="3"/>
  <c r="D286" i="3"/>
  <c r="E286" i="3"/>
  <c r="D287" i="3"/>
  <c r="E287" i="3"/>
  <c r="D288" i="3"/>
  <c r="E288" i="3"/>
  <c r="D289" i="3"/>
  <c r="E289" i="3"/>
  <c r="D290" i="3"/>
  <c r="E290" i="3"/>
  <c r="D291" i="3"/>
  <c r="E291" i="3"/>
  <c r="D292" i="3"/>
  <c r="E292" i="3"/>
  <c r="D293" i="3"/>
  <c r="E293" i="3"/>
  <c r="D294" i="3"/>
  <c r="E294" i="3"/>
  <c r="D295" i="3"/>
  <c r="E295" i="3"/>
  <c r="D296" i="3"/>
  <c r="E296" i="3"/>
  <c r="D297" i="3"/>
  <c r="E297" i="3"/>
  <c r="D298" i="3"/>
  <c r="E298" i="3"/>
  <c r="D299" i="3"/>
  <c r="E299" i="3"/>
  <c r="D300" i="3"/>
  <c r="E300" i="3"/>
  <c r="D301" i="3"/>
  <c r="E301" i="3"/>
  <c r="D302" i="3"/>
  <c r="E302" i="3"/>
  <c r="D303" i="3"/>
  <c r="E303" i="3"/>
  <c r="D304" i="3"/>
  <c r="E304" i="3"/>
  <c r="D305" i="3"/>
  <c r="E305" i="3"/>
  <c r="D306" i="3"/>
  <c r="E306" i="3"/>
  <c r="D307" i="3"/>
  <c r="E307" i="3"/>
  <c r="D308" i="3"/>
  <c r="E308" i="3"/>
  <c r="D309" i="3"/>
  <c r="E309" i="3"/>
  <c r="D310" i="3"/>
  <c r="E310" i="3"/>
  <c r="D311" i="3"/>
  <c r="E311" i="3"/>
  <c r="D312" i="3"/>
  <c r="E312" i="3"/>
  <c r="D313" i="3"/>
  <c r="E313" i="3"/>
  <c r="D314" i="3"/>
  <c r="E314" i="3"/>
  <c r="D315" i="3"/>
  <c r="E315" i="3"/>
  <c r="D316" i="3"/>
  <c r="E316" i="3"/>
  <c r="D317" i="3"/>
  <c r="E317" i="3"/>
  <c r="D318" i="3"/>
  <c r="E318" i="3"/>
  <c r="D319" i="3"/>
  <c r="E319" i="3"/>
  <c r="D320" i="3"/>
  <c r="E320" i="3"/>
  <c r="D321" i="3"/>
  <c r="E321" i="3"/>
  <c r="D322" i="3"/>
  <c r="E322" i="3"/>
  <c r="D323" i="3"/>
  <c r="E323" i="3"/>
  <c r="D324" i="3"/>
  <c r="E324" i="3"/>
  <c r="D325" i="3"/>
  <c r="E325" i="3"/>
  <c r="D326" i="3"/>
  <c r="E326" i="3"/>
  <c r="D327" i="3"/>
  <c r="E327" i="3"/>
  <c r="D328" i="3"/>
  <c r="E328" i="3"/>
  <c r="D329" i="3"/>
  <c r="E329" i="3"/>
  <c r="D330" i="3"/>
  <c r="E330" i="3"/>
  <c r="D331" i="3"/>
  <c r="E331" i="3"/>
  <c r="D332" i="3"/>
  <c r="E332" i="3"/>
  <c r="D333" i="3"/>
  <c r="E333" i="3"/>
  <c r="D334" i="3"/>
  <c r="E334" i="3"/>
  <c r="D335" i="3"/>
  <c r="E335" i="3"/>
  <c r="D336" i="3"/>
  <c r="E336" i="3"/>
  <c r="D337" i="3"/>
  <c r="E337" i="3"/>
  <c r="D338" i="3"/>
  <c r="E338" i="3"/>
  <c r="D339" i="3"/>
  <c r="E339" i="3"/>
  <c r="D340" i="3"/>
  <c r="E340" i="3"/>
  <c r="D341" i="3"/>
  <c r="E341" i="3"/>
  <c r="D342" i="3"/>
  <c r="E342" i="3"/>
  <c r="D343" i="3"/>
  <c r="E343" i="3"/>
  <c r="D344" i="3"/>
  <c r="E344" i="3"/>
  <c r="D345" i="3"/>
  <c r="E345" i="3"/>
  <c r="D346" i="3"/>
  <c r="E346" i="3"/>
  <c r="D347" i="3"/>
  <c r="E347" i="3"/>
  <c r="D348" i="3"/>
  <c r="E348" i="3"/>
  <c r="D349" i="3"/>
  <c r="E349" i="3"/>
  <c r="D350" i="3"/>
  <c r="E350" i="3"/>
  <c r="D351" i="3"/>
  <c r="E351" i="3"/>
  <c r="D352" i="3"/>
  <c r="E352" i="3"/>
  <c r="D353" i="3"/>
  <c r="E353" i="3"/>
  <c r="D354" i="3"/>
  <c r="E354" i="3"/>
  <c r="D355" i="3"/>
  <c r="E355" i="3"/>
  <c r="D356" i="3"/>
  <c r="E356" i="3"/>
  <c r="D357" i="3"/>
  <c r="E357" i="3"/>
  <c r="D358" i="3"/>
  <c r="E358" i="3"/>
  <c r="D359" i="3"/>
  <c r="E359" i="3"/>
  <c r="D360" i="3"/>
  <c r="E360" i="3"/>
  <c r="D361" i="3"/>
  <c r="E361" i="3"/>
  <c r="D362" i="3"/>
  <c r="E362" i="3"/>
  <c r="D363" i="3"/>
  <c r="E363" i="3"/>
  <c r="D364" i="3"/>
  <c r="E364" i="3"/>
  <c r="D365" i="3"/>
  <c r="E365" i="3"/>
  <c r="D366" i="3"/>
  <c r="E366" i="3"/>
  <c r="D367" i="3"/>
  <c r="E367" i="3"/>
  <c r="D368" i="3"/>
  <c r="E368" i="3"/>
  <c r="D369" i="3"/>
  <c r="E369" i="3"/>
  <c r="D370" i="3"/>
  <c r="E370" i="3"/>
  <c r="D371" i="3"/>
  <c r="E371" i="3"/>
  <c r="D372" i="3"/>
  <c r="E372" i="3"/>
  <c r="D373" i="3"/>
  <c r="E373" i="3"/>
  <c r="D374" i="3"/>
  <c r="E374" i="3"/>
  <c r="D375" i="3"/>
  <c r="E375" i="3"/>
  <c r="D376" i="3"/>
  <c r="E376" i="3"/>
  <c r="D377" i="3"/>
  <c r="E377" i="3"/>
  <c r="D378" i="3"/>
  <c r="E378" i="3"/>
  <c r="D379" i="3"/>
  <c r="E379" i="3"/>
  <c r="D380" i="3"/>
  <c r="E380" i="3"/>
  <c r="D381" i="3"/>
  <c r="E381" i="3"/>
  <c r="D382" i="3"/>
  <c r="E382" i="3"/>
  <c r="D383" i="3"/>
  <c r="E383" i="3"/>
  <c r="D384" i="3"/>
  <c r="E384" i="3"/>
  <c r="D385" i="3"/>
  <c r="E385" i="3"/>
  <c r="D386" i="3"/>
  <c r="E386" i="3"/>
  <c r="D387" i="3"/>
  <c r="E387" i="3"/>
  <c r="D388" i="3"/>
  <c r="E388" i="3"/>
  <c r="D389" i="3"/>
  <c r="E389" i="3"/>
  <c r="D390" i="3"/>
  <c r="E390" i="3"/>
  <c r="D391" i="3"/>
  <c r="E391" i="3"/>
  <c r="D392" i="3"/>
  <c r="E392" i="3"/>
  <c r="D393" i="3"/>
  <c r="E393" i="3"/>
  <c r="D394" i="3"/>
  <c r="E394" i="3"/>
  <c r="D395" i="3"/>
  <c r="E395" i="3"/>
  <c r="D396" i="3"/>
  <c r="E396" i="3"/>
  <c r="D397" i="3"/>
  <c r="E397" i="3"/>
  <c r="D398" i="3"/>
  <c r="E398" i="3"/>
  <c r="D399" i="3"/>
  <c r="E399" i="3"/>
  <c r="D400" i="3"/>
  <c r="E400" i="3"/>
  <c r="D401" i="3"/>
  <c r="E401" i="3"/>
  <c r="D402" i="3"/>
  <c r="E402" i="3"/>
  <c r="D403" i="3"/>
  <c r="E403" i="3"/>
  <c r="D404" i="3"/>
  <c r="E404" i="3"/>
  <c r="D405" i="3"/>
  <c r="E405" i="3"/>
  <c r="D406" i="3"/>
  <c r="E406" i="3"/>
  <c r="D407" i="3"/>
  <c r="E407" i="3"/>
  <c r="D408" i="3"/>
  <c r="E408" i="3"/>
  <c r="D409" i="3"/>
  <c r="E409" i="3"/>
  <c r="D410" i="3"/>
  <c r="E410" i="3"/>
  <c r="D411" i="3"/>
  <c r="E411" i="3"/>
  <c r="D412" i="3"/>
  <c r="E412" i="3"/>
  <c r="D413" i="3"/>
  <c r="E413" i="3"/>
  <c r="D414" i="3"/>
  <c r="E414" i="3"/>
  <c r="D415" i="3"/>
  <c r="E415" i="3"/>
  <c r="D416" i="3"/>
  <c r="E416" i="3"/>
  <c r="D417" i="3"/>
  <c r="E417" i="3"/>
  <c r="D418" i="3"/>
  <c r="E418" i="3"/>
  <c r="D419" i="3"/>
  <c r="E419" i="3"/>
  <c r="D420" i="3"/>
  <c r="E420" i="3"/>
  <c r="D421" i="3"/>
  <c r="E421" i="3"/>
  <c r="D422" i="3"/>
  <c r="E422" i="3"/>
  <c r="D423" i="3"/>
  <c r="E423" i="3"/>
  <c r="D424" i="3"/>
  <c r="E424" i="3"/>
  <c r="D425" i="3"/>
  <c r="E425" i="3"/>
  <c r="D426" i="3"/>
  <c r="E426" i="3"/>
  <c r="D427" i="3"/>
  <c r="E427" i="3"/>
  <c r="D428" i="3"/>
  <c r="E428" i="3"/>
  <c r="D429" i="3"/>
  <c r="E429" i="3"/>
  <c r="D430" i="3"/>
  <c r="E430" i="3"/>
  <c r="D431" i="3"/>
  <c r="E431" i="3"/>
  <c r="D432" i="3"/>
  <c r="E432" i="3"/>
  <c r="D433" i="3"/>
  <c r="E433" i="3"/>
  <c r="D434" i="3"/>
  <c r="E434" i="3"/>
  <c r="D435" i="3"/>
  <c r="E435" i="3"/>
  <c r="D436" i="3"/>
  <c r="E436" i="3"/>
  <c r="D437" i="3"/>
  <c r="E437" i="3"/>
  <c r="D438" i="3"/>
  <c r="E438" i="3"/>
  <c r="D439" i="3"/>
  <c r="E439" i="3"/>
  <c r="D440" i="3"/>
  <c r="E440" i="3"/>
  <c r="D441" i="3"/>
  <c r="E441" i="3"/>
  <c r="D442" i="3"/>
  <c r="E442" i="3"/>
  <c r="D443" i="3"/>
  <c r="E443" i="3"/>
  <c r="C444" i="3"/>
  <c r="D445" i="3"/>
  <c r="E445" i="3"/>
  <c r="D447" i="3"/>
  <c r="E447" i="3"/>
  <c r="D449" i="3"/>
  <c r="E449" i="3"/>
  <c r="D450" i="3"/>
  <c r="E450" i="3"/>
  <c r="C451" i="3"/>
  <c r="D451" i="3" s="1"/>
  <c r="D452" i="3"/>
  <c r="E452" i="3"/>
  <c r="D454" i="3"/>
  <c r="E454" i="3"/>
  <c r="D455" i="3"/>
  <c r="E455" i="3"/>
  <c r="D456" i="3"/>
  <c r="E456" i="3"/>
  <c r="D457" i="3"/>
  <c r="E457" i="3"/>
  <c r="D458" i="3"/>
  <c r="E458" i="3"/>
  <c r="D459" i="3"/>
  <c r="E459" i="3"/>
  <c r="D460" i="3"/>
  <c r="E460" i="3"/>
  <c r="D461" i="3"/>
  <c r="E461" i="3"/>
  <c r="D462" i="3"/>
  <c r="E462" i="3"/>
  <c r="D463" i="3"/>
  <c r="E463" i="3"/>
  <c r="D464" i="3"/>
  <c r="E464" i="3"/>
  <c r="D465" i="3"/>
  <c r="E465" i="3"/>
  <c r="D466" i="3"/>
  <c r="E466" i="3"/>
  <c r="D467" i="3"/>
  <c r="E467" i="3"/>
  <c r="D468" i="3"/>
  <c r="E468" i="3"/>
  <c r="D469" i="3"/>
  <c r="E469" i="3"/>
  <c r="D470" i="3"/>
  <c r="E470" i="3"/>
  <c r="D471" i="3"/>
  <c r="E471" i="3"/>
  <c r="D472" i="3"/>
  <c r="E472" i="3"/>
  <c r="D473" i="3"/>
  <c r="E473" i="3"/>
  <c r="D474" i="3"/>
  <c r="E474" i="3"/>
  <c r="D475" i="3"/>
  <c r="E475" i="3"/>
  <c r="D476" i="3"/>
  <c r="E476" i="3"/>
  <c r="D477" i="3"/>
  <c r="E477" i="3"/>
  <c r="D478" i="3"/>
  <c r="E478" i="3"/>
  <c r="D479" i="3"/>
  <c r="E479" i="3"/>
  <c r="D480" i="3"/>
  <c r="E480" i="3"/>
  <c r="D481" i="3"/>
  <c r="E481" i="3"/>
  <c r="D482" i="3"/>
  <c r="E482" i="3"/>
  <c r="D483" i="3"/>
  <c r="E483" i="3"/>
  <c r="D484" i="3"/>
  <c r="E484" i="3"/>
  <c r="D485" i="3"/>
  <c r="E485" i="3"/>
  <c r="D486" i="3"/>
  <c r="E486" i="3"/>
  <c r="D487" i="3"/>
  <c r="E487" i="3"/>
  <c r="D488" i="3"/>
  <c r="E488" i="3"/>
  <c r="D489" i="3"/>
  <c r="E489" i="3"/>
  <c r="D490" i="3"/>
  <c r="E490" i="3"/>
  <c r="D491" i="3"/>
  <c r="E491" i="3"/>
  <c r="D492" i="3"/>
  <c r="E492" i="3"/>
  <c r="D493" i="3"/>
  <c r="E493" i="3"/>
  <c r="B34" i="2"/>
  <c r="D34" i="2"/>
  <c r="E34" i="2"/>
  <c r="F34" i="2"/>
  <c r="G34" i="2"/>
  <c r="H34" i="2"/>
  <c r="I34" i="2"/>
  <c r="J34" i="2"/>
  <c r="K34" i="2"/>
  <c r="L34" i="2"/>
  <c r="M34" i="2"/>
  <c r="E108" i="3"/>
  <c r="C110" i="3"/>
  <c r="D110" i="3" s="1"/>
  <c r="E107" i="3"/>
  <c r="C446" i="3"/>
  <c r="E446" i="3" s="1"/>
  <c r="E444" i="3"/>
  <c r="D444" i="3"/>
  <c r="C6" i="3"/>
  <c r="D107" i="3"/>
  <c r="D3" i="3"/>
  <c r="C112" i="3"/>
  <c r="D112" i="3" s="1"/>
  <c r="E451" i="3"/>
  <c r="C5" i="3"/>
  <c r="E5" i="3"/>
  <c r="E3" i="3"/>
  <c r="C111" i="3"/>
  <c r="C113" i="3" s="1"/>
  <c r="E113" i="3" s="1"/>
  <c r="D5" i="3"/>
  <c r="C7" i="3"/>
  <c r="C9" i="3" s="1"/>
  <c r="D7" i="3"/>
  <c r="E7" i="3" l="1"/>
  <c r="E115" i="4"/>
  <c r="D446" i="3"/>
  <c r="D113" i="3"/>
  <c r="C448" i="3"/>
  <c r="C115" i="3"/>
  <c r="E115" i="3" s="1"/>
  <c r="C453" i="3"/>
  <c r="D453" i="3" s="1"/>
  <c r="D111" i="3"/>
  <c r="E111" i="3"/>
  <c r="C11" i="3"/>
  <c r="D9" i="3"/>
  <c r="E6" i="3"/>
  <c r="C8" i="3"/>
  <c r="E453" i="3"/>
  <c r="D448" i="3"/>
  <c r="E448" i="3"/>
  <c r="E9" i="3"/>
  <c r="C114" i="3"/>
  <c r="E112" i="3"/>
  <c r="C117" i="3"/>
  <c r="D6" i="3"/>
  <c r="E4" i="3"/>
  <c r="D4" i="3"/>
  <c r="E110" i="3"/>
  <c r="D109" i="3"/>
  <c r="E109" i="3"/>
  <c r="P2" i="2"/>
  <c r="P3" i="2" s="1"/>
  <c r="D115" i="3" l="1"/>
  <c r="D8" i="3"/>
  <c r="C10" i="3"/>
  <c r="E8" i="3"/>
  <c r="C116" i="3"/>
  <c r="E114" i="3"/>
  <c r="D114" i="3"/>
  <c r="D117" i="3"/>
  <c r="E117" i="3"/>
  <c r="C119" i="3"/>
  <c r="D11" i="3"/>
  <c r="E11" i="3"/>
  <c r="C13" i="3"/>
  <c r="C118" i="3" l="1"/>
  <c r="D116" i="3"/>
  <c r="E116" i="3"/>
  <c r="E10" i="3"/>
  <c r="D10" i="3"/>
  <c r="C12" i="3"/>
  <c r="D13" i="3"/>
  <c r="E13" i="3"/>
  <c r="C15" i="3"/>
  <c r="D119" i="3"/>
  <c r="C121" i="3"/>
  <c r="E119" i="3"/>
  <c r="D121" i="3" l="1"/>
  <c r="E121" i="3"/>
  <c r="C123" i="3"/>
  <c r="E12" i="3"/>
  <c r="C14" i="3"/>
  <c r="D12" i="3"/>
  <c r="D15" i="3"/>
  <c r="E15" i="3"/>
  <c r="C17" i="3"/>
  <c r="C120" i="3"/>
  <c r="D118" i="3"/>
  <c r="E118" i="3"/>
  <c r="C125" i="3" l="1"/>
  <c r="E123" i="3"/>
  <c r="D123" i="3"/>
  <c r="C122" i="3"/>
  <c r="D120" i="3"/>
  <c r="E120" i="3"/>
  <c r="C19" i="3"/>
  <c r="E17" i="3"/>
  <c r="D17" i="3"/>
  <c r="C16" i="3"/>
  <c r="E14" i="3"/>
  <c r="D14" i="3"/>
  <c r="D122" i="3" l="1"/>
  <c r="E122" i="3"/>
  <c r="C124" i="3"/>
  <c r="C21" i="3"/>
  <c r="D19" i="3"/>
  <c r="E19" i="3"/>
  <c r="E16" i="3"/>
  <c r="C18" i="3"/>
  <c r="D16" i="3"/>
  <c r="E125" i="3"/>
  <c r="C127" i="3"/>
  <c r="D125" i="3"/>
  <c r="C23" i="3" l="1"/>
  <c r="D21" i="3"/>
  <c r="E21" i="3"/>
  <c r="C126" i="3"/>
  <c r="E124" i="3"/>
  <c r="D124" i="3"/>
  <c r="D18" i="3"/>
  <c r="C20" i="3"/>
  <c r="E18" i="3"/>
  <c r="E127" i="3"/>
  <c r="D127" i="3"/>
  <c r="C129" i="3"/>
  <c r="D126" i="3" l="1"/>
  <c r="E126" i="3"/>
  <c r="C128" i="3"/>
  <c r="C22" i="3"/>
  <c r="E20" i="3"/>
  <c r="D20" i="3"/>
  <c r="E129" i="3"/>
  <c r="D129" i="3"/>
  <c r="C131" i="3"/>
  <c r="D23" i="3"/>
  <c r="E23" i="3"/>
  <c r="C25" i="3"/>
  <c r="E128" i="3" l="1"/>
  <c r="C130" i="3"/>
  <c r="D128" i="3"/>
  <c r="E25" i="3"/>
  <c r="C27" i="3"/>
  <c r="D25" i="3"/>
  <c r="C24" i="3"/>
  <c r="E22" i="3"/>
  <c r="D22" i="3"/>
  <c r="C133" i="3"/>
  <c r="E131" i="3"/>
  <c r="D131" i="3"/>
  <c r="C26" i="3" l="1"/>
  <c r="E24" i="3"/>
  <c r="D24" i="3"/>
  <c r="E133" i="3"/>
  <c r="D133" i="3"/>
  <c r="C135" i="3"/>
  <c r="D130" i="3"/>
  <c r="C132" i="3"/>
  <c r="E130" i="3"/>
  <c r="C29" i="3"/>
  <c r="E27" i="3"/>
  <c r="D27" i="3"/>
  <c r="E135" i="3" l="1"/>
  <c r="D135" i="3"/>
  <c r="D132" i="3"/>
  <c r="C134" i="3"/>
  <c r="E132" i="3"/>
  <c r="E29" i="3"/>
  <c r="C31" i="3"/>
  <c r="D29" i="3"/>
  <c r="D26" i="3"/>
  <c r="E26" i="3"/>
  <c r="C28" i="3"/>
  <c r="E134" i="3" l="1"/>
  <c r="C136" i="3"/>
  <c r="D134" i="3"/>
  <c r="C30" i="3"/>
  <c r="E28" i="3"/>
  <c r="D28" i="3"/>
  <c r="E31" i="3"/>
  <c r="C33" i="3"/>
  <c r="D31" i="3"/>
  <c r="E33" i="3" l="1"/>
  <c r="C35" i="3"/>
  <c r="D33" i="3"/>
  <c r="E30" i="3"/>
  <c r="C32" i="3"/>
  <c r="D30" i="3"/>
  <c r="D136" i="3"/>
  <c r="E136" i="3"/>
  <c r="D35" i="3" l="1"/>
  <c r="C37" i="3"/>
  <c r="E35" i="3"/>
  <c r="C34" i="3"/>
  <c r="E32" i="3"/>
  <c r="D32" i="3"/>
  <c r="D34" i="3" l="1"/>
  <c r="C36" i="3"/>
  <c r="E34" i="3"/>
  <c r="C39" i="3"/>
  <c r="E37" i="3"/>
  <c r="D37" i="3"/>
  <c r="D39" i="3" l="1"/>
  <c r="E39" i="3"/>
  <c r="C41" i="3"/>
  <c r="E36" i="3"/>
  <c r="C38" i="3"/>
  <c r="D36" i="3"/>
  <c r="D41" i="3" l="1"/>
  <c r="C43" i="3"/>
  <c r="E41" i="3"/>
  <c r="C40" i="3"/>
  <c r="E38" i="3"/>
  <c r="D38" i="3"/>
  <c r="C45" i="3" l="1"/>
  <c r="D43" i="3"/>
  <c r="E43" i="3"/>
  <c r="C42" i="3"/>
  <c r="D40" i="3"/>
  <c r="E40" i="3"/>
  <c r="E42" i="3" l="1"/>
  <c r="C44" i="3"/>
  <c r="D42" i="3"/>
  <c r="C47" i="3"/>
  <c r="D45" i="3"/>
  <c r="E45" i="3"/>
  <c r="D47" i="3" l="1"/>
  <c r="E47" i="3"/>
  <c r="C49" i="3"/>
  <c r="C46" i="3"/>
  <c r="D44" i="3"/>
  <c r="E44" i="3"/>
  <c r="D46" i="3" l="1"/>
  <c r="E46" i="3"/>
  <c r="C48" i="3"/>
  <c r="E49" i="3"/>
  <c r="D49" i="3"/>
  <c r="C51" i="3"/>
  <c r="C50" i="3" l="1"/>
  <c r="E48" i="3"/>
  <c r="D48" i="3"/>
  <c r="D51" i="3"/>
  <c r="C53" i="3"/>
  <c r="E51" i="3"/>
  <c r="E53" i="3" l="1"/>
  <c r="C55" i="3"/>
  <c r="D53" i="3"/>
  <c r="C52" i="3"/>
  <c r="D50" i="3"/>
  <c r="E50" i="3"/>
  <c r="E52" i="3" l="1"/>
  <c r="D52" i="3"/>
  <c r="C54" i="3"/>
  <c r="D55" i="3"/>
  <c r="E55" i="3"/>
  <c r="C57" i="3"/>
  <c r="C56" i="3" l="1"/>
  <c r="E54" i="3"/>
  <c r="D54" i="3"/>
  <c r="C59" i="3"/>
  <c r="E57" i="3"/>
  <c r="D57" i="3"/>
  <c r="D59" i="3" l="1"/>
  <c r="E59" i="3"/>
  <c r="C61" i="3"/>
  <c r="D56" i="3"/>
  <c r="C58" i="3"/>
  <c r="E56" i="3"/>
  <c r="D61" i="3" l="1"/>
  <c r="E61" i="3"/>
  <c r="C63" i="3"/>
  <c r="E58" i="3"/>
  <c r="D58" i="3"/>
  <c r="C60" i="3"/>
  <c r="D63" i="3" l="1"/>
  <c r="E63" i="3"/>
  <c r="C65" i="3"/>
  <c r="E60" i="3"/>
  <c r="D60" i="3"/>
  <c r="C62" i="3"/>
  <c r="E62" i="3" l="1"/>
  <c r="D62" i="3"/>
  <c r="C64" i="3"/>
  <c r="D65" i="3"/>
  <c r="C67" i="3"/>
  <c r="E65" i="3"/>
  <c r="C66" i="3" l="1"/>
  <c r="E64" i="3"/>
  <c r="D64" i="3"/>
  <c r="C69" i="3"/>
  <c r="E67" i="3"/>
  <c r="D67" i="3"/>
  <c r="D69" i="3" l="1"/>
  <c r="C71" i="3"/>
  <c r="E69" i="3"/>
  <c r="E66" i="3"/>
  <c r="C68" i="3"/>
  <c r="D66" i="3"/>
  <c r="C73" i="3" l="1"/>
  <c r="E71" i="3"/>
  <c r="D71" i="3"/>
  <c r="D68" i="3"/>
  <c r="E68" i="3"/>
  <c r="C70" i="3"/>
  <c r="C72" i="3" l="1"/>
  <c r="D70" i="3"/>
  <c r="E70" i="3"/>
  <c r="C75" i="3"/>
  <c r="D73" i="3"/>
  <c r="E73" i="3"/>
  <c r="D75" i="3" l="1"/>
  <c r="E75" i="3"/>
  <c r="C77" i="3"/>
  <c r="D72" i="3"/>
  <c r="C74" i="3"/>
  <c r="E72" i="3"/>
  <c r="E77" i="3" l="1"/>
  <c r="D77" i="3"/>
  <c r="C79" i="3"/>
  <c r="E74" i="3"/>
  <c r="C76" i="3"/>
  <c r="D74" i="3"/>
  <c r="D79" i="3" l="1"/>
  <c r="E79" i="3"/>
  <c r="C81" i="3"/>
  <c r="D76" i="3"/>
  <c r="E76" i="3"/>
  <c r="C78" i="3"/>
  <c r="D81" i="3" l="1"/>
  <c r="E81" i="3"/>
  <c r="C83" i="3"/>
  <c r="E78" i="3"/>
  <c r="D78" i="3"/>
  <c r="C80" i="3"/>
  <c r="D83" i="3" l="1"/>
  <c r="C85" i="3"/>
  <c r="E83" i="3"/>
  <c r="E80" i="3"/>
  <c r="C82" i="3"/>
  <c r="D80" i="3"/>
  <c r="D85" i="3" l="1"/>
  <c r="E85" i="3"/>
  <c r="C87" i="3"/>
  <c r="C84" i="3"/>
  <c r="E82" i="3"/>
  <c r="D82" i="3"/>
  <c r="C86" i="3" l="1"/>
  <c r="E84" i="3"/>
  <c r="D84" i="3"/>
  <c r="C89" i="3"/>
  <c r="E87" i="3"/>
  <c r="D87" i="3"/>
  <c r="C91" i="3" l="1"/>
  <c r="E89" i="3"/>
  <c r="D89" i="3"/>
  <c r="E86" i="3"/>
  <c r="D86" i="3"/>
  <c r="C88" i="3"/>
  <c r="C90" i="3" l="1"/>
  <c r="E88" i="3"/>
  <c r="D88" i="3"/>
  <c r="C93" i="3"/>
  <c r="E91" i="3"/>
  <c r="D91" i="3"/>
  <c r="C95" i="3" l="1"/>
  <c r="D93" i="3"/>
  <c r="E93" i="3"/>
  <c r="E90" i="3"/>
  <c r="D90" i="3"/>
  <c r="C92" i="3"/>
  <c r="C94" i="3" l="1"/>
  <c r="E92" i="3"/>
  <c r="D92" i="3"/>
  <c r="E95" i="3"/>
  <c r="D95" i="3"/>
  <c r="C97" i="3"/>
  <c r="E97" i="3" l="1"/>
  <c r="C99" i="3"/>
  <c r="D97" i="3"/>
  <c r="E94" i="3"/>
  <c r="D94" i="3"/>
  <c r="C96" i="3"/>
  <c r="D96" i="3" l="1"/>
  <c r="E96" i="3"/>
  <c r="C98" i="3"/>
  <c r="E99" i="3"/>
  <c r="D99" i="3"/>
  <c r="C101" i="3"/>
  <c r="D98" i="3" l="1"/>
  <c r="E98" i="3"/>
  <c r="C100" i="3"/>
  <c r="D101" i="3"/>
  <c r="E101" i="3"/>
  <c r="C103" i="3"/>
  <c r="D100" i="3" l="1"/>
  <c r="E100" i="3"/>
  <c r="C102" i="3"/>
  <c r="E103" i="3"/>
  <c r="D103" i="3"/>
  <c r="C105" i="3"/>
  <c r="C104" i="3" l="1"/>
  <c r="E102" i="3"/>
  <c r="D102" i="3"/>
  <c r="D105" i="3"/>
  <c r="E105" i="3"/>
  <c r="D104" i="3" l="1"/>
  <c r="E104" i="3"/>
  <c r="G9" i="4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l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F115" i="4"/>
  <c r="G115" i="4" s="1"/>
  <c r="G32" i="4" l="1"/>
  <c r="G33" i="4" s="1"/>
  <c r="G34" i="4" s="1"/>
  <c r="G35" i="4" s="1"/>
  <c r="G36" i="4" s="1"/>
  <c r="G37" i="4" l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l="1"/>
  <c r="G58" i="4" s="1"/>
  <c r="G59" i="4" l="1"/>
  <c r="G60" i="4" l="1"/>
  <c r="G61" i="4" s="1"/>
  <c r="G62" i="4" s="1"/>
  <c r="G63" i="4" s="1"/>
  <c r="G64" i="4" s="1"/>
  <c r="G65" i="4" l="1"/>
  <c r="G66" i="4" s="1"/>
  <c r="G67" i="4" s="1"/>
  <c r="G68" i="4" s="1"/>
  <c r="G69" i="4" s="1"/>
  <c r="G70" i="4" s="1"/>
  <c r="G71" i="4" s="1"/>
  <c r="G72" i="4" l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</calcChain>
</file>

<file path=xl/sharedStrings.xml><?xml version="1.0" encoding="utf-8"?>
<sst xmlns="http://schemas.openxmlformats.org/spreadsheetml/2006/main" count="2289" uniqueCount="802">
  <si>
    <t>Resumen</t>
  </si>
  <si>
    <t>Año</t>
  </si>
  <si>
    <t>Semana</t>
  </si>
  <si>
    <t>Etapa</t>
  </si>
  <si>
    <t xml:space="preserve">Jugado </t>
  </si>
  <si>
    <t>Apuestas</t>
  </si>
  <si>
    <t>Boletos</t>
  </si>
  <si>
    <t>1 Acierto</t>
  </si>
  <si>
    <t>2 Aciertos</t>
  </si>
  <si>
    <t>2 + C Aciertos</t>
  </si>
  <si>
    <t>5ª Catg.</t>
  </si>
  <si>
    <t>4ª Catg</t>
  </si>
  <si>
    <t>Premios</t>
  </si>
  <si>
    <t>Reintegros</t>
  </si>
  <si>
    <t>PyG</t>
  </si>
  <si>
    <t>Rentabilidad</t>
  </si>
  <si>
    <t>Total</t>
  </si>
  <si>
    <t>N</t>
  </si>
  <si>
    <t>Sorteo</t>
  </si>
  <si>
    <t>Fecha</t>
  </si>
  <si>
    <t>Dia</t>
  </si>
  <si>
    <t>Sem</t>
  </si>
  <si>
    <t>N1</t>
  </si>
  <si>
    <t>N2</t>
  </si>
  <si>
    <t>N3</t>
  </si>
  <si>
    <t>N4</t>
  </si>
  <si>
    <t>N5</t>
  </si>
  <si>
    <t>N6</t>
  </si>
  <si>
    <t>C</t>
  </si>
  <si>
    <t>R</t>
  </si>
  <si>
    <t>Ord</t>
  </si>
  <si>
    <t>2014/001</t>
  </si>
  <si>
    <t>Si</t>
  </si>
  <si>
    <t>2014/002</t>
  </si>
  <si>
    <t>2014/003</t>
  </si>
  <si>
    <t>2014/004</t>
  </si>
  <si>
    <t>2014/005</t>
  </si>
  <si>
    <t>2014/006</t>
  </si>
  <si>
    <t>2014/007</t>
  </si>
  <si>
    <t>2014/008</t>
  </si>
  <si>
    <t>2014/009</t>
  </si>
  <si>
    <t>2014/010</t>
  </si>
  <si>
    <t>2014/011</t>
  </si>
  <si>
    <t>2014/012</t>
  </si>
  <si>
    <t>2014/013</t>
  </si>
  <si>
    <t>2014/014</t>
  </si>
  <si>
    <t>2014/015</t>
  </si>
  <si>
    <t>2014/016</t>
  </si>
  <si>
    <t>2014/017</t>
  </si>
  <si>
    <t>2014/018</t>
  </si>
  <si>
    <t>2014/019</t>
  </si>
  <si>
    <t>2014/020</t>
  </si>
  <si>
    <t>2014/021</t>
  </si>
  <si>
    <t>2014/022</t>
  </si>
  <si>
    <t>2014/023</t>
  </si>
  <si>
    <t>2014/024</t>
  </si>
  <si>
    <t>2014/025</t>
  </si>
  <si>
    <t>2014/026</t>
  </si>
  <si>
    <t>2014/027</t>
  </si>
  <si>
    <t>2014/028</t>
  </si>
  <si>
    <t>2014/029</t>
  </si>
  <si>
    <t>2014/030</t>
  </si>
  <si>
    <t>2014/031</t>
  </si>
  <si>
    <t>2014/032</t>
  </si>
  <si>
    <t>2014/033</t>
  </si>
  <si>
    <t>2014/034</t>
  </si>
  <si>
    <t>2014/035</t>
  </si>
  <si>
    <t>2014/036</t>
  </si>
  <si>
    <t>2014/037</t>
  </si>
  <si>
    <t>2014/038</t>
  </si>
  <si>
    <t>2014/039</t>
  </si>
  <si>
    <t>2014/040</t>
  </si>
  <si>
    <t>2014/041</t>
  </si>
  <si>
    <t>2014/042</t>
  </si>
  <si>
    <t>2014/043</t>
  </si>
  <si>
    <t>2014/044</t>
  </si>
  <si>
    <t>2014/045</t>
  </si>
  <si>
    <t>2014/046</t>
  </si>
  <si>
    <t>2014/047</t>
  </si>
  <si>
    <t>2014/048</t>
  </si>
  <si>
    <t>2014/049</t>
  </si>
  <si>
    <t>2014/050</t>
  </si>
  <si>
    <t>2014/051</t>
  </si>
  <si>
    <t>2014/052</t>
  </si>
  <si>
    <t>2014/053</t>
  </si>
  <si>
    <t>2014/054</t>
  </si>
  <si>
    <t>2014/055</t>
  </si>
  <si>
    <t>2014/056</t>
  </si>
  <si>
    <t>2014/057</t>
  </si>
  <si>
    <t>2014/058</t>
  </si>
  <si>
    <t>2014/059</t>
  </si>
  <si>
    <t>2014/060</t>
  </si>
  <si>
    <t>2014/061</t>
  </si>
  <si>
    <t>2014/062</t>
  </si>
  <si>
    <t>2014/063</t>
  </si>
  <si>
    <t>2014/064</t>
  </si>
  <si>
    <t>2014/065</t>
  </si>
  <si>
    <t>2014/066</t>
  </si>
  <si>
    <t>2014/067</t>
  </si>
  <si>
    <t>2014/068</t>
  </si>
  <si>
    <t>2014/069</t>
  </si>
  <si>
    <t>2014/070</t>
  </si>
  <si>
    <t>2014/071</t>
  </si>
  <si>
    <t>2014/072</t>
  </si>
  <si>
    <t>2014/073</t>
  </si>
  <si>
    <t>2014/074</t>
  </si>
  <si>
    <t>2014/075</t>
  </si>
  <si>
    <t>2014/076</t>
  </si>
  <si>
    <t>2014/077</t>
  </si>
  <si>
    <t>2014/078</t>
  </si>
  <si>
    <t>2014/079</t>
  </si>
  <si>
    <t>2014/080</t>
  </si>
  <si>
    <t>2014/081</t>
  </si>
  <si>
    <t>2014/082</t>
  </si>
  <si>
    <t>2014/083</t>
  </si>
  <si>
    <t>2014/084</t>
  </si>
  <si>
    <t>2014/085</t>
  </si>
  <si>
    <t>2014/086</t>
  </si>
  <si>
    <t>2014/087</t>
  </si>
  <si>
    <t>2014/088</t>
  </si>
  <si>
    <t>2014/089</t>
  </si>
  <si>
    <t>2014/090</t>
  </si>
  <si>
    <t>2014/091</t>
  </si>
  <si>
    <t>2014/092</t>
  </si>
  <si>
    <t>2014/093</t>
  </si>
  <si>
    <t>2014/094</t>
  </si>
  <si>
    <t>2014/095</t>
  </si>
  <si>
    <t>2014/096</t>
  </si>
  <si>
    <t>2014/097</t>
  </si>
  <si>
    <t>2014/098</t>
  </si>
  <si>
    <t>2014/099</t>
  </si>
  <si>
    <t>2014/100</t>
  </si>
  <si>
    <t>2014/101</t>
  </si>
  <si>
    <t>2014/102</t>
  </si>
  <si>
    <t>2014/103</t>
  </si>
  <si>
    <t>2014/104</t>
  </si>
  <si>
    <t>2015/001</t>
  </si>
  <si>
    <t>2015/002</t>
  </si>
  <si>
    <t>2015/003</t>
  </si>
  <si>
    <t>2015/004</t>
  </si>
  <si>
    <t>2015/005</t>
  </si>
  <si>
    <t>2015/006</t>
  </si>
  <si>
    <t>2015/007</t>
  </si>
  <si>
    <t>2015/008</t>
  </si>
  <si>
    <t>2015/009</t>
  </si>
  <si>
    <t>2015/010</t>
  </si>
  <si>
    <t>2015/011</t>
  </si>
  <si>
    <t>2015/012</t>
  </si>
  <si>
    <t>2015/013</t>
  </si>
  <si>
    <t>2015/014</t>
  </si>
  <si>
    <t>2015/015</t>
  </si>
  <si>
    <t>2015/016</t>
  </si>
  <si>
    <t>2015/017</t>
  </si>
  <si>
    <t>2015/018</t>
  </si>
  <si>
    <t>2015/019</t>
  </si>
  <si>
    <t>2015/020</t>
  </si>
  <si>
    <t>2015/021</t>
  </si>
  <si>
    <t>2015/022</t>
  </si>
  <si>
    <t>2015/023</t>
  </si>
  <si>
    <t>2015/024</t>
  </si>
  <si>
    <t>2015/025</t>
  </si>
  <si>
    <t>2015/026</t>
  </si>
  <si>
    <t>2015/027</t>
  </si>
  <si>
    <t>2015/028</t>
  </si>
  <si>
    <t>2015/029</t>
  </si>
  <si>
    <t>2015/030</t>
  </si>
  <si>
    <t>2015/031</t>
  </si>
  <si>
    <t>2015/032</t>
  </si>
  <si>
    <t>2015/033</t>
  </si>
  <si>
    <t>2015/034</t>
  </si>
  <si>
    <t>2015/035</t>
  </si>
  <si>
    <t>2015/036</t>
  </si>
  <si>
    <t>2015/037</t>
  </si>
  <si>
    <t>2015/038</t>
  </si>
  <si>
    <t>2015/039</t>
  </si>
  <si>
    <t>2015/040</t>
  </si>
  <si>
    <t>2015/041</t>
  </si>
  <si>
    <t>2015/042</t>
  </si>
  <si>
    <t>2015/043</t>
  </si>
  <si>
    <t>2015/044</t>
  </si>
  <si>
    <t>2015/045</t>
  </si>
  <si>
    <t>2015/046</t>
  </si>
  <si>
    <t>2015/047</t>
  </si>
  <si>
    <t>2015/048</t>
  </si>
  <si>
    <t>2015/049</t>
  </si>
  <si>
    <t>2015/050</t>
  </si>
  <si>
    <t>2015/051</t>
  </si>
  <si>
    <t>2015/052</t>
  </si>
  <si>
    <t>2015/053</t>
  </si>
  <si>
    <t>2015/054</t>
  </si>
  <si>
    <t>2015/055</t>
  </si>
  <si>
    <t>2015/056</t>
  </si>
  <si>
    <t>2015/057</t>
  </si>
  <si>
    <t>2015/058</t>
  </si>
  <si>
    <t>2015/059</t>
  </si>
  <si>
    <t>2015/060</t>
  </si>
  <si>
    <t>2015/061</t>
  </si>
  <si>
    <t>2015/062</t>
  </si>
  <si>
    <t>2015/063</t>
  </si>
  <si>
    <t>2015/064</t>
  </si>
  <si>
    <t>2015/065</t>
  </si>
  <si>
    <t>2015/066</t>
  </si>
  <si>
    <t>2015/067</t>
  </si>
  <si>
    <t>2015/068</t>
  </si>
  <si>
    <t>2015/069</t>
  </si>
  <si>
    <t>2015/070</t>
  </si>
  <si>
    <t>2015/071</t>
  </si>
  <si>
    <t>2015/072</t>
  </si>
  <si>
    <t>2015/073</t>
  </si>
  <si>
    <t>2015/074</t>
  </si>
  <si>
    <t>2015/075</t>
  </si>
  <si>
    <t>2015/076</t>
  </si>
  <si>
    <t>2015/077</t>
  </si>
  <si>
    <t>2015/078</t>
  </si>
  <si>
    <t>2015/079</t>
  </si>
  <si>
    <t>2015/080</t>
  </si>
  <si>
    <t>2015/081</t>
  </si>
  <si>
    <t>2015/082</t>
  </si>
  <si>
    <t>2015/083</t>
  </si>
  <si>
    <t>2015/084</t>
  </si>
  <si>
    <t>2015/085</t>
  </si>
  <si>
    <t>2015/086</t>
  </si>
  <si>
    <t>2015/087</t>
  </si>
  <si>
    <t>2015/088</t>
  </si>
  <si>
    <t>2015/089</t>
  </si>
  <si>
    <t>2015/090</t>
  </si>
  <si>
    <t>2015/091</t>
  </si>
  <si>
    <t>2015/092</t>
  </si>
  <si>
    <t>2015/093</t>
  </si>
  <si>
    <t>2015/094</t>
  </si>
  <si>
    <t>2015/095</t>
  </si>
  <si>
    <t>2015/096</t>
  </si>
  <si>
    <t>2015/097</t>
  </si>
  <si>
    <t>2015/098</t>
  </si>
  <si>
    <t>2015/099</t>
  </si>
  <si>
    <t>2015/100</t>
  </si>
  <si>
    <t>2015/101</t>
  </si>
  <si>
    <t>2015/102</t>
  </si>
  <si>
    <t>2015/103</t>
  </si>
  <si>
    <t>2015/104</t>
  </si>
  <si>
    <t>2015/105</t>
  </si>
  <si>
    <t>2015/106</t>
  </si>
  <si>
    <t>2016/001</t>
  </si>
  <si>
    <t>2016/002</t>
  </si>
  <si>
    <t>2016/003</t>
  </si>
  <si>
    <t>2016/004</t>
  </si>
  <si>
    <t>2016/005</t>
  </si>
  <si>
    <t>2016/006</t>
  </si>
  <si>
    <t>2016/007</t>
  </si>
  <si>
    <t>2016/008</t>
  </si>
  <si>
    <t>2016/009</t>
  </si>
  <si>
    <t>2016/010</t>
  </si>
  <si>
    <t>2016/011</t>
  </si>
  <si>
    <t>2016/012</t>
  </si>
  <si>
    <t>2016/013</t>
  </si>
  <si>
    <t>2016/014</t>
  </si>
  <si>
    <t>2016/015</t>
  </si>
  <si>
    <t>2016/016</t>
  </si>
  <si>
    <t>2016/017</t>
  </si>
  <si>
    <t>2016/018</t>
  </si>
  <si>
    <t>2016/019</t>
  </si>
  <si>
    <t>2016/020</t>
  </si>
  <si>
    <t>2016/021</t>
  </si>
  <si>
    <t>2016/022</t>
  </si>
  <si>
    <t>2016/023</t>
  </si>
  <si>
    <t>2016/024</t>
  </si>
  <si>
    <t>2016/025</t>
  </si>
  <si>
    <t>2016/026</t>
  </si>
  <si>
    <t>2016/027</t>
  </si>
  <si>
    <t>2016/028</t>
  </si>
  <si>
    <t>2016/029</t>
  </si>
  <si>
    <t>2016/030</t>
  </si>
  <si>
    <t>2016/031</t>
  </si>
  <si>
    <t>2016/032</t>
  </si>
  <si>
    <t>2016/033</t>
  </si>
  <si>
    <t>2016/034</t>
  </si>
  <si>
    <t>2016/035</t>
  </si>
  <si>
    <t>2016/036</t>
  </si>
  <si>
    <t>2016/037</t>
  </si>
  <si>
    <t>2016/038</t>
  </si>
  <si>
    <t>2016/039</t>
  </si>
  <si>
    <t>2016/040</t>
  </si>
  <si>
    <t>2016/041</t>
  </si>
  <si>
    <t>2016/042</t>
  </si>
  <si>
    <t>2016/043</t>
  </si>
  <si>
    <t>2016/044</t>
  </si>
  <si>
    <t>2016/045</t>
  </si>
  <si>
    <t>2016/046</t>
  </si>
  <si>
    <t>2016/047</t>
  </si>
  <si>
    <t>2016/048</t>
  </si>
  <si>
    <t>2016/049</t>
  </si>
  <si>
    <t>2016/050</t>
  </si>
  <si>
    <t>2016/051</t>
  </si>
  <si>
    <t>2016/052</t>
  </si>
  <si>
    <t>2016/053</t>
  </si>
  <si>
    <t>2016/054</t>
  </si>
  <si>
    <t>2016/055</t>
  </si>
  <si>
    <t>2016/056</t>
  </si>
  <si>
    <t>2016/057</t>
  </si>
  <si>
    <t>2016/058</t>
  </si>
  <si>
    <t>2016/059</t>
  </si>
  <si>
    <t>2016/060</t>
  </si>
  <si>
    <t>2016/061</t>
  </si>
  <si>
    <t>2016/062</t>
  </si>
  <si>
    <t>2016/063</t>
  </si>
  <si>
    <t>2016/064</t>
  </si>
  <si>
    <t>2016/065</t>
  </si>
  <si>
    <t>2016/066</t>
  </si>
  <si>
    <t>2016/067</t>
  </si>
  <si>
    <t>2016/068</t>
  </si>
  <si>
    <t>2016/069</t>
  </si>
  <si>
    <t>2016/070</t>
  </si>
  <si>
    <t>2016/071</t>
  </si>
  <si>
    <t>2016/072</t>
  </si>
  <si>
    <t>2016/073</t>
  </si>
  <si>
    <t>2016/074</t>
  </si>
  <si>
    <t>2016/075</t>
  </si>
  <si>
    <t>2016/076</t>
  </si>
  <si>
    <t>2016/077</t>
  </si>
  <si>
    <t>2016/078</t>
  </si>
  <si>
    <t>2016/079</t>
  </si>
  <si>
    <t>2016/080</t>
  </si>
  <si>
    <t>2016/081</t>
  </si>
  <si>
    <t>2016/082</t>
  </si>
  <si>
    <t>2016/083</t>
  </si>
  <si>
    <t>2016/084</t>
  </si>
  <si>
    <t>2016/085</t>
  </si>
  <si>
    <t>2016/086</t>
  </si>
  <si>
    <t>2016/087</t>
  </si>
  <si>
    <t>2016/088</t>
  </si>
  <si>
    <t>2016/089</t>
  </si>
  <si>
    <t>2016/090</t>
  </si>
  <si>
    <t>2016/091</t>
  </si>
  <si>
    <t>2016/092</t>
  </si>
  <si>
    <t>2016/093</t>
  </si>
  <si>
    <t>2016/094</t>
  </si>
  <si>
    <t>2016/095</t>
  </si>
  <si>
    <t>2016/096</t>
  </si>
  <si>
    <t>2016/097</t>
  </si>
  <si>
    <t>2016/098</t>
  </si>
  <si>
    <t>2016/099</t>
  </si>
  <si>
    <t>2016/100</t>
  </si>
  <si>
    <t>2016/101</t>
  </si>
  <si>
    <t>2016/102</t>
  </si>
  <si>
    <t>2017/001</t>
  </si>
  <si>
    <t>2017/002</t>
  </si>
  <si>
    <t>2017/003</t>
  </si>
  <si>
    <t>2017/004</t>
  </si>
  <si>
    <t>2017/005</t>
  </si>
  <si>
    <t>2017/006</t>
  </si>
  <si>
    <t>2017/007</t>
  </si>
  <si>
    <t>2017/008</t>
  </si>
  <si>
    <t>2017/009</t>
  </si>
  <si>
    <t>2017/010</t>
  </si>
  <si>
    <t>2017/011</t>
  </si>
  <si>
    <t>2017/012</t>
  </si>
  <si>
    <t>2017/013</t>
  </si>
  <si>
    <t>2017/014</t>
  </si>
  <si>
    <t>2017/015</t>
  </si>
  <si>
    <t>2017/016</t>
  </si>
  <si>
    <t>2017/017</t>
  </si>
  <si>
    <t>2017/018</t>
  </si>
  <si>
    <t>2017/019</t>
  </si>
  <si>
    <t>2017/020</t>
  </si>
  <si>
    <t>2017/021</t>
  </si>
  <si>
    <t>2017/022</t>
  </si>
  <si>
    <t>2017/023</t>
  </si>
  <si>
    <t>2017/024</t>
  </si>
  <si>
    <t>2017/025</t>
  </si>
  <si>
    <t>2017/026</t>
  </si>
  <si>
    <t>2017/027</t>
  </si>
  <si>
    <t>2017/028</t>
  </si>
  <si>
    <t>2017/029</t>
  </si>
  <si>
    <t>2017/030</t>
  </si>
  <si>
    <t>2017/031</t>
  </si>
  <si>
    <t>2017/032</t>
  </si>
  <si>
    <t>2017/033</t>
  </si>
  <si>
    <t>2017/034</t>
  </si>
  <si>
    <t>2017/035</t>
  </si>
  <si>
    <t>2017/036</t>
  </si>
  <si>
    <t>2017/037</t>
  </si>
  <si>
    <t>2017/038</t>
  </si>
  <si>
    <t>2017/039</t>
  </si>
  <si>
    <t>2017/040</t>
  </si>
  <si>
    <t>2017/041</t>
  </si>
  <si>
    <t>2017/042</t>
  </si>
  <si>
    <t>2017/043</t>
  </si>
  <si>
    <t>2017/044</t>
  </si>
  <si>
    <t>2017/045</t>
  </si>
  <si>
    <t>2017/046</t>
  </si>
  <si>
    <t>2017/047</t>
  </si>
  <si>
    <t>2017/048</t>
  </si>
  <si>
    <t>2017/049</t>
  </si>
  <si>
    <t>2017/050</t>
  </si>
  <si>
    <t>2017/051</t>
  </si>
  <si>
    <t>2017/052</t>
  </si>
  <si>
    <t>2017/053</t>
  </si>
  <si>
    <t>2017/054</t>
  </si>
  <si>
    <t>2017/055</t>
  </si>
  <si>
    <t>2017/056</t>
  </si>
  <si>
    <t>2017/057</t>
  </si>
  <si>
    <t>2017/058</t>
  </si>
  <si>
    <t>2017/059</t>
  </si>
  <si>
    <t>2017/060</t>
  </si>
  <si>
    <t>2017/061</t>
  </si>
  <si>
    <t>2017/062</t>
  </si>
  <si>
    <t>2017/063</t>
  </si>
  <si>
    <t>2017/064</t>
  </si>
  <si>
    <t>2017/065</t>
  </si>
  <si>
    <t>2017/066</t>
  </si>
  <si>
    <t>2017/067</t>
  </si>
  <si>
    <t>2017/068</t>
  </si>
  <si>
    <t>2017/069</t>
  </si>
  <si>
    <t>2017/070</t>
  </si>
  <si>
    <t>2017/071</t>
  </si>
  <si>
    <t>2017/072</t>
  </si>
  <si>
    <t>2017/073</t>
  </si>
  <si>
    <t>2017/074</t>
  </si>
  <si>
    <t>2017/075</t>
  </si>
  <si>
    <t>2017/076</t>
  </si>
  <si>
    <t>2017/077</t>
  </si>
  <si>
    <t>2017/078</t>
  </si>
  <si>
    <t>2017/079</t>
  </si>
  <si>
    <t>2017/080</t>
  </si>
  <si>
    <t>2017/081</t>
  </si>
  <si>
    <t>2017/082</t>
  </si>
  <si>
    <t>2017/083</t>
  </si>
  <si>
    <t>2017/084</t>
  </si>
  <si>
    <t>2017/085</t>
  </si>
  <si>
    <t>2017/086</t>
  </si>
  <si>
    <t>2017/087</t>
  </si>
  <si>
    <t>2017/088</t>
  </si>
  <si>
    <t>2017/089</t>
  </si>
  <si>
    <t>2017/090</t>
  </si>
  <si>
    <t>2017/091</t>
  </si>
  <si>
    <t>2017/092</t>
  </si>
  <si>
    <t>2017/093</t>
  </si>
  <si>
    <t>2017/094</t>
  </si>
  <si>
    <t>2017/095</t>
  </si>
  <si>
    <t>2017/096</t>
  </si>
  <si>
    <t>2017/097</t>
  </si>
  <si>
    <t>2017/098</t>
  </si>
  <si>
    <t>2017/099</t>
  </si>
  <si>
    <t>2017/100</t>
  </si>
  <si>
    <t>2017/101</t>
  </si>
  <si>
    <t>2017/102</t>
  </si>
  <si>
    <t>2017/103</t>
  </si>
  <si>
    <t>2017/104</t>
  </si>
  <si>
    <t>2018/001</t>
  </si>
  <si>
    <t>2018/002</t>
  </si>
  <si>
    <t>2018/003</t>
  </si>
  <si>
    <t>2018/004</t>
  </si>
  <si>
    <t>2018/005</t>
  </si>
  <si>
    <t>2018/006</t>
  </si>
  <si>
    <t>2018/007</t>
  </si>
  <si>
    <t>2018/008</t>
  </si>
  <si>
    <t>2018/009</t>
  </si>
  <si>
    <t>2018/010</t>
  </si>
  <si>
    <t>2018/011</t>
  </si>
  <si>
    <t>2018/012</t>
  </si>
  <si>
    <t>2018/013</t>
  </si>
  <si>
    <t>2018/014</t>
  </si>
  <si>
    <t>2018/015</t>
  </si>
  <si>
    <t>2018/016</t>
  </si>
  <si>
    <t>2018/017</t>
  </si>
  <si>
    <t>2018/018</t>
  </si>
  <si>
    <t>2018/019</t>
  </si>
  <si>
    <t>2018/020</t>
  </si>
  <si>
    <t>2018/021</t>
  </si>
  <si>
    <t>2018/022</t>
  </si>
  <si>
    <t>2018/023</t>
  </si>
  <si>
    <t>2018/024</t>
  </si>
  <si>
    <t>2018/025</t>
  </si>
  <si>
    <t>2018/026</t>
  </si>
  <si>
    <t>2018/027</t>
  </si>
  <si>
    <t>2018/028</t>
  </si>
  <si>
    <t>2018/029</t>
  </si>
  <si>
    <t>2018/030</t>
  </si>
  <si>
    <t>2018/031</t>
  </si>
  <si>
    <t>2018/032</t>
  </si>
  <si>
    <t>2018/033</t>
  </si>
  <si>
    <t>2018/034</t>
  </si>
  <si>
    <t>2018/035</t>
  </si>
  <si>
    <t>2018/036</t>
  </si>
  <si>
    <t>2018/037</t>
  </si>
  <si>
    <t>2018/038</t>
  </si>
  <si>
    <t>2018/039</t>
  </si>
  <si>
    <t>2018/040</t>
  </si>
  <si>
    <t>2018/041</t>
  </si>
  <si>
    <t>2018/042</t>
  </si>
  <si>
    <t>2018/043</t>
  </si>
  <si>
    <t>2018/044</t>
  </si>
  <si>
    <t>2018/045</t>
  </si>
  <si>
    <t>2018/046</t>
  </si>
  <si>
    <t>2018/047</t>
  </si>
  <si>
    <t>2018/048</t>
  </si>
  <si>
    <t>2018/049</t>
  </si>
  <si>
    <t>2018/050</t>
  </si>
  <si>
    <t>2018/051</t>
  </si>
  <si>
    <t>2018/052</t>
  </si>
  <si>
    <t>2018/053</t>
  </si>
  <si>
    <t>2018/054</t>
  </si>
  <si>
    <t>2018/055</t>
  </si>
  <si>
    <t>2018/056</t>
  </si>
  <si>
    <t>2018/057</t>
  </si>
  <si>
    <t>2018/058</t>
  </si>
  <si>
    <t>2018/059</t>
  </si>
  <si>
    <t>2018/060</t>
  </si>
  <si>
    <t>2018/061</t>
  </si>
  <si>
    <t>2018/062</t>
  </si>
  <si>
    <t>2018/063</t>
  </si>
  <si>
    <t>2018/064</t>
  </si>
  <si>
    <t>2018/065</t>
  </si>
  <si>
    <t>2018/066</t>
  </si>
  <si>
    <t>2018/067</t>
  </si>
  <si>
    <t>2018/068</t>
  </si>
  <si>
    <t>2018/069</t>
  </si>
  <si>
    <t>2018/070</t>
  </si>
  <si>
    <t>2018/071</t>
  </si>
  <si>
    <t>2018/072</t>
  </si>
  <si>
    <t>2018/073</t>
  </si>
  <si>
    <t>2018/074</t>
  </si>
  <si>
    <t>2018/075</t>
  </si>
  <si>
    <t>2018/076</t>
  </si>
  <si>
    <t>2018/077</t>
  </si>
  <si>
    <t>2018/078</t>
  </si>
  <si>
    <t>2018/079</t>
  </si>
  <si>
    <t>2018/080</t>
  </si>
  <si>
    <t>2018/081</t>
  </si>
  <si>
    <t>2018/082</t>
  </si>
  <si>
    <t>2018/083</t>
  </si>
  <si>
    <t>2018/084</t>
  </si>
  <si>
    <t>2018/085</t>
  </si>
  <si>
    <t>2018/086</t>
  </si>
  <si>
    <t>2018/087</t>
  </si>
  <si>
    <t>2018/088</t>
  </si>
  <si>
    <t>2018/089</t>
  </si>
  <si>
    <t>2018/090</t>
  </si>
  <si>
    <t>2018/091</t>
  </si>
  <si>
    <t>2018/092</t>
  </si>
  <si>
    <t>2018/093</t>
  </si>
  <si>
    <t>2018/094</t>
  </si>
  <si>
    <t>2018/095</t>
  </si>
  <si>
    <t>2018/096</t>
  </si>
  <si>
    <t>2018/097</t>
  </si>
  <si>
    <t>2018/098</t>
  </si>
  <si>
    <t>2018/099</t>
  </si>
  <si>
    <t>2018/100</t>
  </si>
  <si>
    <t>2018/101</t>
  </si>
  <si>
    <t>2018/102</t>
  </si>
  <si>
    <t>2018/103</t>
  </si>
  <si>
    <t>2018/104</t>
  </si>
  <si>
    <t>2019/001</t>
  </si>
  <si>
    <t>2019/002</t>
  </si>
  <si>
    <t>2019/003</t>
  </si>
  <si>
    <t>2019/004</t>
  </si>
  <si>
    <t>2019/005</t>
  </si>
  <si>
    <t>2019/006</t>
  </si>
  <si>
    <t>2019/007</t>
  </si>
  <si>
    <t>2019/008</t>
  </si>
  <si>
    <t>2019/009</t>
  </si>
  <si>
    <t>2019/010</t>
  </si>
  <si>
    <t>2019/011</t>
  </si>
  <si>
    <t>2019/012</t>
  </si>
  <si>
    <t>2019/013</t>
  </si>
  <si>
    <t>2019/014</t>
  </si>
  <si>
    <t>2019/015</t>
  </si>
  <si>
    <t>2019/016</t>
  </si>
  <si>
    <t>2019/017</t>
  </si>
  <si>
    <t>2019/018</t>
  </si>
  <si>
    <t>2019/019</t>
  </si>
  <si>
    <t>2019/020</t>
  </si>
  <si>
    <t>2019/021</t>
  </si>
  <si>
    <t>2019/022</t>
  </si>
  <si>
    <t>2019/023</t>
  </si>
  <si>
    <t>2019/024</t>
  </si>
  <si>
    <t>2019/025</t>
  </si>
  <si>
    <t>2019/026</t>
  </si>
  <si>
    <t>2019/027</t>
  </si>
  <si>
    <t>2019/028</t>
  </si>
  <si>
    <t>2019/029</t>
  </si>
  <si>
    <t>2019/030</t>
  </si>
  <si>
    <t>2019/031</t>
  </si>
  <si>
    <t>2019/032</t>
  </si>
  <si>
    <t>2019/033</t>
  </si>
  <si>
    <t>2019/034</t>
  </si>
  <si>
    <t>2019/035</t>
  </si>
  <si>
    <t>2019/036</t>
  </si>
  <si>
    <t>2019/037</t>
  </si>
  <si>
    <t>2019/038</t>
  </si>
  <si>
    <t>2019/039</t>
  </si>
  <si>
    <t>2019/040</t>
  </si>
  <si>
    <t>2019/041</t>
  </si>
  <si>
    <t>2019/042</t>
  </si>
  <si>
    <t>Movimientos Peña Bay Bay 4</t>
  </si>
  <si>
    <t>Concepto</t>
  </si>
  <si>
    <t>Participante</t>
  </si>
  <si>
    <t>Ingresos</t>
  </si>
  <si>
    <t xml:space="preserve">Gasto </t>
  </si>
  <si>
    <t>Saldo</t>
  </si>
  <si>
    <t>Sellado de Boletos</t>
  </si>
  <si>
    <t>Carlos Almela Baeza</t>
  </si>
  <si>
    <t>Pablo Holst Nielsen</t>
  </si>
  <si>
    <t>Saldo inicial</t>
  </si>
  <si>
    <t>Saldo Temporal</t>
  </si>
  <si>
    <t>Cobro Reintegro BL</t>
  </si>
  <si>
    <t>Cobro Premio 5ª BL</t>
  </si>
  <si>
    <t>Id</t>
  </si>
  <si>
    <t>idBoleto</t>
  </si>
  <si>
    <t>Juego</t>
  </si>
  <si>
    <t>N7</t>
  </si>
  <si>
    <t>N8</t>
  </si>
  <si>
    <t>N9</t>
  </si>
  <si>
    <t>Aciertos</t>
  </si>
  <si>
    <t>Metodo</t>
  </si>
  <si>
    <t>Coste</t>
  </si>
  <si>
    <t>Premio</t>
  </si>
  <si>
    <t>LP</t>
  </si>
  <si>
    <t>Charly</t>
  </si>
  <si>
    <t>Pablo</t>
  </si>
  <si>
    <t>Fecha Hasta</t>
  </si>
  <si>
    <t>Semanal</t>
  </si>
  <si>
    <t>Reintegro</t>
  </si>
  <si>
    <t>Notas</t>
  </si>
  <si>
    <t>No</t>
  </si>
  <si>
    <t>Peña</t>
  </si>
  <si>
    <t>Comentario</t>
  </si>
  <si>
    <t>N10</t>
  </si>
  <si>
    <t>N11</t>
  </si>
  <si>
    <t>_</t>
  </si>
  <si>
    <t>Costes</t>
  </si>
  <si>
    <t>Dias</t>
  </si>
  <si>
    <t>Puntuacion</t>
  </si>
  <si>
    <t>ENERO</t>
  </si>
  <si>
    <t>FEBRERO</t>
  </si>
  <si>
    <t>L</t>
  </si>
  <si>
    <t>M</t>
  </si>
  <si>
    <t>X</t>
  </si>
  <si>
    <t>J</t>
  </si>
  <si>
    <t>V</t>
  </si>
  <si>
    <t>S</t>
  </si>
  <si>
    <t>D</t>
  </si>
  <si>
    <t>Carlos</t>
  </si>
  <si>
    <t>MARZO</t>
  </si>
  <si>
    <t>ABRIL</t>
  </si>
  <si>
    <t>MAYO</t>
  </si>
  <si>
    <t>JUNIO</t>
  </si>
  <si>
    <t>2019/043</t>
  </si>
  <si>
    <t>2019/044</t>
  </si>
  <si>
    <t>2019/045</t>
  </si>
  <si>
    <t>2019/046</t>
  </si>
  <si>
    <t>2019/047</t>
  </si>
  <si>
    <t>2019/048</t>
  </si>
  <si>
    <t>JULIO</t>
  </si>
  <si>
    <t>AGOSTO</t>
  </si>
  <si>
    <t>2019/049</t>
  </si>
  <si>
    <t>2019/050</t>
  </si>
  <si>
    <t>2019/051</t>
  </si>
  <si>
    <t>2019/052</t>
  </si>
  <si>
    <t>2019/053</t>
  </si>
  <si>
    <t>2019/054</t>
  </si>
  <si>
    <t>2019/055</t>
  </si>
  <si>
    <t>2019/056</t>
  </si>
  <si>
    <t>2019/057</t>
  </si>
  <si>
    <t>2019/058</t>
  </si>
  <si>
    <t>2019/059</t>
  </si>
  <si>
    <t>2019/060</t>
  </si>
  <si>
    <t>2019/061</t>
  </si>
  <si>
    <t>2019/062</t>
  </si>
  <si>
    <t>2019/063</t>
  </si>
  <si>
    <t>2019/064</t>
  </si>
  <si>
    <t>SEPTIEMBRE</t>
  </si>
  <si>
    <t>OCTUBRE</t>
  </si>
  <si>
    <t>2019/065</t>
  </si>
  <si>
    <t>2019/066</t>
  </si>
  <si>
    <t>2019/067</t>
  </si>
  <si>
    <t>2019/068</t>
  </si>
  <si>
    <t>2019/069</t>
  </si>
  <si>
    <t>2019/070</t>
  </si>
  <si>
    <t>2019/071</t>
  </si>
  <si>
    <t>2019/072</t>
  </si>
  <si>
    <t>2019/073</t>
  </si>
  <si>
    <t>2019/074</t>
  </si>
  <si>
    <t>2019/075</t>
  </si>
  <si>
    <t>2019/076</t>
  </si>
  <si>
    <t>2019/077</t>
  </si>
  <si>
    <t>2019/078</t>
  </si>
  <si>
    <t>2019/079</t>
  </si>
  <si>
    <t>2019/080</t>
  </si>
  <si>
    <t>2019/081</t>
  </si>
  <si>
    <t>2019/082</t>
  </si>
  <si>
    <t>2019/083</t>
  </si>
  <si>
    <t>NOVIEMBRE</t>
  </si>
  <si>
    <t>DICIEMBRE</t>
  </si>
  <si>
    <t>2019/084</t>
  </si>
  <si>
    <t>2019/085</t>
  </si>
  <si>
    <t>2019/086</t>
  </si>
  <si>
    <t>2019/087</t>
  </si>
  <si>
    <t>2019/088</t>
  </si>
  <si>
    <t>2019/089</t>
  </si>
  <si>
    <t>2019/090</t>
  </si>
  <si>
    <t>2019/091</t>
  </si>
  <si>
    <t>2019/092</t>
  </si>
  <si>
    <t>2019/093</t>
  </si>
  <si>
    <t>2019/094</t>
  </si>
  <si>
    <t>2019/095</t>
  </si>
  <si>
    <t>2019/096</t>
  </si>
  <si>
    <t>2019/097</t>
  </si>
  <si>
    <t>2019/098</t>
  </si>
  <si>
    <t>2019/099</t>
  </si>
  <si>
    <t xml:space="preserve">Prob max Media (90) </t>
  </si>
  <si>
    <t>Tiempo max Medio (90)</t>
  </si>
  <si>
    <t>2019/100</t>
  </si>
  <si>
    <t>2019/101</t>
  </si>
  <si>
    <t>2019/102</t>
  </si>
  <si>
    <t>2019/103</t>
  </si>
  <si>
    <t>2019/104</t>
  </si>
  <si>
    <t xml:space="preserve"> 5ª</t>
  </si>
  <si>
    <t>2019/105</t>
  </si>
  <si>
    <t>Cuota de Participación</t>
  </si>
  <si>
    <t>Frecuencias max Media (90)</t>
  </si>
  <si>
    <t>2019/106</t>
  </si>
  <si>
    <t>2019/107</t>
  </si>
  <si>
    <t>2019/108</t>
  </si>
  <si>
    <t>2019/109</t>
  </si>
  <si>
    <t>2019/110</t>
  </si>
  <si>
    <t>2019/111</t>
  </si>
  <si>
    <t>2019/112</t>
  </si>
  <si>
    <t>2019/113</t>
  </si>
  <si>
    <t>2019/114</t>
  </si>
  <si>
    <t>2019/115</t>
  </si>
  <si>
    <t>Traspaso de Saldos</t>
  </si>
  <si>
    <t>2019/116</t>
  </si>
  <si>
    <t>Cobro Reintegro LP</t>
  </si>
  <si>
    <t>2019/117</t>
  </si>
  <si>
    <t>2019/118</t>
  </si>
  <si>
    <t>2019/119</t>
  </si>
  <si>
    <t>2019/120</t>
  </si>
  <si>
    <t>2019/121</t>
  </si>
  <si>
    <t>2019/122</t>
  </si>
  <si>
    <t xml:space="preserve"> 4ª</t>
  </si>
  <si>
    <t>2019/123</t>
  </si>
  <si>
    <t>2019/124</t>
  </si>
  <si>
    <t>2019/125</t>
  </si>
  <si>
    <t>sá., 14/03/2020</t>
  </si>
  <si>
    <t>ju., 19/03/2020</t>
  </si>
  <si>
    <t>Semana sin apuestas</t>
  </si>
  <si>
    <t>sá., 21/03/2020</t>
  </si>
  <si>
    <t>ju., 26/03/2020</t>
  </si>
  <si>
    <t>sá., 28/03/2020</t>
  </si>
  <si>
    <t>ju., 02/04/2020</t>
  </si>
  <si>
    <t>sá., 04/04/2020</t>
  </si>
  <si>
    <t>ju., 09/04/2020</t>
  </si>
  <si>
    <t>sá., 11/04/2020</t>
  </si>
  <si>
    <t>ju., 16/04/2020</t>
  </si>
  <si>
    <t>TipoProcedimiento</t>
  </si>
  <si>
    <t>Pronosticos</t>
  </si>
  <si>
    <t>ModalidadJuego</t>
  </si>
  <si>
    <t>CriterioOrdenacion</t>
  </si>
  <si>
    <t>SentidoOrdenacion</t>
  </si>
  <si>
    <t>CriterioAgrupacion</t>
  </si>
  <si>
    <t>TipoMuestra</t>
  </si>
  <si>
    <t>NumeroSorteos</t>
  </si>
  <si>
    <t>DiasAnalisis</t>
  </si>
  <si>
    <t>FiltrosCombinacion</t>
  </si>
  <si>
    <t>FechaAlta</t>
  </si>
  <si>
    <t>FechaModificacion</t>
  </si>
  <si>
    <t>Fecha Analisis</t>
  </si>
  <si>
    <t>Dias Analizados</t>
  </si>
  <si>
    <t xml:space="preserve">Numero de Sorteos </t>
  </si>
  <si>
    <t>Paridad</t>
  </si>
  <si>
    <t>Peso</t>
  </si>
  <si>
    <t>Decena</t>
  </si>
  <si>
    <t xml:space="preserve">Estadisticas sobre números </t>
  </si>
  <si>
    <t>Fecha de inicio</t>
  </si>
  <si>
    <t>Fecha de Fin</t>
  </si>
  <si>
    <t>Total Numeros</t>
  </si>
  <si>
    <t>Numero</t>
  </si>
  <si>
    <t>Apariciones</t>
  </si>
  <si>
    <t>Ausencias</t>
  </si>
  <si>
    <t>Prob</t>
  </si>
  <si>
    <t>Prob Tiempo</t>
  </si>
  <si>
    <t>Prob Frecuencias</t>
  </si>
  <si>
    <t>Tiempo</t>
  </si>
  <si>
    <t>Desv</t>
  </si>
  <si>
    <t>Moda</t>
  </si>
  <si>
    <t>Max</t>
  </si>
  <si>
    <t>Min</t>
  </si>
  <si>
    <t>Ultima Fecha</t>
  </si>
  <si>
    <t>Proxima Fecha</t>
  </si>
  <si>
    <t>Terminación</t>
  </si>
  <si>
    <t>Tendencia</t>
  </si>
  <si>
    <t>C.Ausencias</t>
  </si>
  <si>
    <t>V.Homogeneo</t>
  </si>
  <si>
    <t>impar</t>
  </si>
  <si>
    <t>bajo</t>
  </si>
  <si>
    <t>Corto</t>
  </si>
  <si>
    <t>par</t>
  </si>
  <si>
    <t>alto</t>
  </si>
  <si>
    <t>Medio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</si>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</sst>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0.00%;[Red]\ \(0.00\ %\)"/>
    <numFmt numFmtId="165" formatCode="_-* #,##0\ _€_-;\-* #,##0\ _€_-;_-* &quot;-&quot;??\ _€_-;_-@_-"/>
    <numFmt numFmtId="166" formatCode="_-* #,##0.0\ _€_-;\-* #,##0.0\ _€_-;_-* &quot;-&quot;??\ _€_-;_-@_-"/>
    <numFmt numFmtId="167" formatCode="00"/>
    <numFmt numFmtId="169" formatCode="0.000%"/>
    <numFmt numFmtId="170" formatCode="dd/mm/yyyy"/>
    <numFmt numFmtId="171" formatCode="0.000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11"/>
      <color indexed="20"/>
      <name val="Arial"/>
      <family val="2"/>
    </font>
    <font>
      <b/>
      <sz val="11"/>
      <color indexed="20"/>
      <name val="Arial"/>
      <family val="2"/>
    </font>
    <font>
      <sz val="11"/>
      <color theme="1"/>
      <name val="Arial"/>
      <family val="2"/>
    </font>
    <font>
      <b/>
      <sz val="11"/>
      <color indexed="9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sz val="10"/>
      <color rgb="FF3333CC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11"/>
      <name val="Calibri"/>
      <family val="2"/>
      <scheme val="minor"/>
    </font>
    <font>
      <b/>
      <sz val="12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sz val="11"/>
      <color indexed="13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6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indexed="15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0"/>
        <bgColor indexed="64"/>
      </patternFill>
    </fill>
  </fills>
  <borders count="2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240">
    <xf numFmtId="0" fontId="0" fillId="0" borderId="0" xfId="0"/>
    <xf numFmtId="0" fontId="5" fillId="0" borderId="0" xfId="2" applyFont="1"/>
    <xf numFmtId="44" fontId="5" fillId="0" borderId="1" xfId="0" applyNumberFormat="1" applyFont="1" applyBorder="1"/>
    <xf numFmtId="44" fontId="5" fillId="0" borderId="2" xfId="0" applyNumberFormat="1" applyFont="1" applyBorder="1"/>
    <xf numFmtId="0" fontId="5" fillId="0" borderId="2" xfId="0" applyFont="1" applyBorder="1"/>
    <xf numFmtId="0" fontId="6" fillId="0" borderId="2" xfId="0" applyFont="1" applyBorder="1"/>
    <xf numFmtId="0" fontId="7" fillId="2" borderId="2" xfId="0" applyFont="1" applyFill="1" applyBorder="1"/>
    <xf numFmtId="0" fontId="7" fillId="2" borderId="3" xfId="0" applyFont="1" applyFill="1" applyBorder="1"/>
    <xf numFmtId="0" fontId="7" fillId="2" borderId="0" xfId="2" applyFont="1" applyFill="1"/>
    <xf numFmtId="44" fontId="8" fillId="3" borderId="0" xfId="3" applyFont="1" applyFill="1"/>
    <xf numFmtId="0" fontId="8" fillId="3" borderId="0" xfId="3" applyNumberFormat="1" applyFont="1" applyFill="1"/>
    <xf numFmtId="0" fontId="5" fillId="3" borderId="0" xfId="2" applyFont="1" applyFill="1"/>
    <xf numFmtId="0" fontId="6" fillId="3" borderId="0" xfId="2" applyFont="1" applyFill="1"/>
    <xf numFmtId="0" fontId="7" fillId="3" borderId="0" xfId="2" applyFont="1" applyFill="1"/>
    <xf numFmtId="164" fontId="8" fillId="0" borderId="0" xfId="4" applyNumberFormat="1" applyFont="1"/>
    <xf numFmtId="44" fontId="5" fillId="0" borderId="0" xfId="2" applyNumberFormat="1" applyFont="1"/>
    <xf numFmtId="0" fontId="9" fillId="4" borderId="4" xfId="2" applyFont="1" applyFill="1" applyBorder="1" applyAlignment="1">
      <alignment horizontal="right"/>
    </xf>
    <xf numFmtId="0" fontId="10" fillId="0" borderId="0" xfId="0" applyFont="1" applyAlignment="1">
      <alignment horizontal="right" vertical="top"/>
    </xf>
    <xf numFmtId="0" fontId="4" fillId="5" borderId="0" xfId="0" applyFont="1" applyFill="1" applyAlignment="1">
      <alignment horizontal="right" vertical="top"/>
    </xf>
    <xf numFmtId="1" fontId="4" fillId="5" borderId="0" xfId="0" applyNumberFormat="1" applyFont="1" applyFill="1" applyAlignment="1">
      <alignment horizontal="right" vertical="top"/>
    </xf>
    <xf numFmtId="0" fontId="4" fillId="5" borderId="5" xfId="0" applyFont="1" applyFill="1" applyBorder="1" applyAlignment="1">
      <alignment horizontal="right" vertical="top"/>
    </xf>
    <xf numFmtId="0" fontId="4" fillId="5" borderId="6" xfId="0" applyFont="1" applyFill="1" applyBorder="1" applyAlignment="1">
      <alignment horizontal="right" vertical="top"/>
    </xf>
    <xf numFmtId="0" fontId="4" fillId="5" borderId="5" xfId="0" quotePrefix="1" applyFont="1" applyFill="1" applyBorder="1" applyAlignment="1">
      <alignment horizontal="right" vertical="top"/>
    </xf>
    <xf numFmtId="0" fontId="4" fillId="5" borderId="6" xfId="0" quotePrefix="1" applyFont="1" applyFill="1" applyBorder="1" applyAlignment="1">
      <alignment horizontal="right" vertical="top"/>
    </xf>
    <xf numFmtId="0" fontId="4" fillId="5" borderId="0" xfId="0" quotePrefix="1" applyFont="1" applyFill="1" applyAlignment="1">
      <alignment horizontal="right" vertical="top"/>
    </xf>
    <xf numFmtId="14" fontId="4" fillId="5" borderId="0" xfId="0" applyNumberFormat="1" applyFont="1" applyFill="1" applyAlignment="1">
      <alignment horizontal="right" vertical="top"/>
    </xf>
    <xf numFmtId="0" fontId="4" fillId="5" borderId="0" xfId="0" applyFont="1" applyFill="1" applyAlignment="1" applyProtection="1">
      <alignment horizontal="right" vertical="top"/>
      <protection locked="0"/>
    </xf>
    <xf numFmtId="0" fontId="11" fillId="6" borderId="0" xfId="0" applyFont="1" applyFill="1" applyAlignment="1">
      <alignment horizontal="right" vertical="top"/>
    </xf>
    <xf numFmtId="15" fontId="11" fillId="6" borderId="0" xfId="0" applyNumberFormat="1" applyFont="1" applyFill="1" applyAlignment="1">
      <alignment horizontal="right" vertical="top"/>
    </xf>
    <xf numFmtId="0" fontId="4" fillId="0" borderId="0" xfId="2" applyAlignment="1">
      <alignment horizontal="right" vertical="top"/>
    </xf>
    <xf numFmtId="0" fontId="12" fillId="8" borderId="0" xfId="2" applyFont="1" applyFill="1" applyAlignment="1">
      <alignment horizontal="left" vertical="top" wrapText="1"/>
    </xf>
    <xf numFmtId="0" fontId="17" fillId="0" borderId="0" xfId="0" applyFont="1" applyAlignment="1">
      <alignment horizontal="left" vertical="top" wrapText="1"/>
    </xf>
    <xf numFmtId="44" fontId="4" fillId="0" borderId="0" xfId="2" applyNumberFormat="1" applyAlignment="1">
      <alignment horizontal="right" vertical="top"/>
    </xf>
    <xf numFmtId="0" fontId="4" fillId="0" borderId="0" xfId="0" applyFont="1" applyAlignment="1">
      <alignment horizontal="right" vertical="top" wrapText="1"/>
    </xf>
    <xf numFmtId="0" fontId="13" fillId="0" borderId="0" xfId="0" applyFont="1" applyAlignment="1">
      <alignment horizontal="right" vertical="top" wrapText="1"/>
    </xf>
    <xf numFmtId="0" fontId="4" fillId="0" borderId="0" xfId="2" applyAlignment="1">
      <alignment horizontal="right" vertical="top" wrapText="1"/>
    </xf>
    <xf numFmtId="0" fontId="4" fillId="0" borderId="0" xfId="2" applyAlignment="1">
      <alignment horizontal="left" vertical="top" wrapText="1"/>
    </xf>
    <xf numFmtId="15" fontId="12" fillId="2" borderId="0" xfId="0" applyNumberFormat="1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4" fillId="0" borderId="0" xfId="2"/>
    <xf numFmtId="0" fontId="10" fillId="0" borderId="0" xfId="0" applyFont="1" applyAlignment="1">
      <alignment horizontal="center"/>
    </xf>
    <xf numFmtId="15" fontId="11" fillId="0" borderId="7" xfId="0" applyNumberFormat="1" applyFont="1" applyBorder="1" applyAlignment="1">
      <alignment horizontal="right" vertical="top"/>
    </xf>
    <xf numFmtId="0" fontId="11" fillId="0" borderId="7" xfId="0" applyFont="1" applyBorder="1" applyAlignment="1">
      <alignment horizontal="right" vertical="top"/>
    </xf>
    <xf numFmtId="0" fontId="18" fillId="0" borderId="0" xfId="0" applyFont="1" applyAlignment="1">
      <alignment horizontal="left" vertical="top"/>
    </xf>
    <xf numFmtId="0" fontId="19" fillId="12" borderId="0" xfId="0" applyFont="1" applyFill="1" applyAlignment="1">
      <alignment textRotation="90"/>
    </xf>
    <xf numFmtId="0" fontId="2" fillId="16" borderId="0" xfId="0" applyFont="1" applyFill="1"/>
    <xf numFmtId="0" fontId="11" fillId="11" borderId="8" xfId="0" applyFont="1" applyFill="1" applyBorder="1" applyAlignment="1">
      <alignment horizontal="center"/>
    </xf>
    <xf numFmtId="0" fontId="11" fillId="11" borderId="9" xfId="0" applyFont="1" applyFill="1" applyBorder="1" applyAlignment="1">
      <alignment horizontal="center"/>
    </xf>
    <xf numFmtId="0" fontId="11" fillId="11" borderId="10" xfId="0" applyFont="1" applyFill="1" applyBorder="1" applyAlignment="1">
      <alignment horizontal="center"/>
    </xf>
    <xf numFmtId="0" fontId="11" fillId="14" borderId="0" xfId="0" applyFont="1" applyFill="1" applyAlignment="1">
      <alignment horizontal="left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14" borderId="0" xfId="0" applyFont="1" applyFill="1" applyAlignment="1">
      <alignment horizontal="center"/>
    </xf>
    <xf numFmtId="0" fontId="3" fillId="16" borderId="14" xfId="0" applyFont="1" applyFill="1" applyBorder="1" applyAlignment="1">
      <alignment horizontal="center"/>
    </xf>
    <xf numFmtId="0" fontId="4" fillId="14" borderId="14" xfId="0" applyFont="1" applyFill="1" applyBorder="1" applyAlignment="1">
      <alignment horizontal="center"/>
    </xf>
    <xf numFmtId="0" fontId="4" fillId="14" borderId="15" xfId="0" applyFont="1" applyFill="1" applyBorder="1" applyAlignment="1">
      <alignment horizontal="center"/>
    </xf>
    <xf numFmtId="0" fontId="3" fillId="16" borderId="4" xfId="0" applyFont="1" applyFill="1" applyBorder="1" applyAlignment="1">
      <alignment horizontal="center"/>
    </xf>
    <xf numFmtId="0" fontId="4" fillId="14" borderId="4" xfId="0" applyFont="1" applyFill="1" applyBorder="1" applyAlignment="1">
      <alignment horizontal="center"/>
    </xf>
    <xf numFmtId="0" fontId="0" fillId="0" borderId="16" xfId="0" applyBorder="1"/>
    <xf numFmtId="0" fontId="4" fillId="14" borderId="12" xfId="0" applyFont="1" applyFill="1" applyBorder="1" applyAlignment="1">
      <alignment horizontal="center"/>
    </xf>
    <xf numFmtId="0" fontId="3" fillId="16" borderId="12" xfId="0" applyFont="1" applyFill="1" applyBorder="1" applyAlignment="1">
      <alignment horizontal="center"/>
    </xf>
    <xf numFmtId="0" fontId="10" fillId="0" borderId="0" xfId="0" applyFont="1"/>
    <xf numFmtId="166" fontId="10" fillId="0" borderId="0" xfId="0" applyNumberFormat="1" applyFont="1"/>
    <xf numFmtId="14" fontId="4" fillId="9" borderId="0" xfId="0" applyNumberFormat="1" applyFont="1" applyFill="1" applyAlignment="1" applyProtection="1">
      <alignment horizontal="left" vertical="center" wrapText="1"/>
      <protection locked="0"/>
    </xf>
    <xf numFmtId="0" fontId="13" fillId="9" borderId="0" xfId="0" applyFont="1" applyFill="1" applyAlignment="1" applyProtection="1">
      <alignment horizontal="left" vertical="center" wrapText="1"/>
      <protection locked="0"/>
    </xf>
    <xf numFmtId="1" fontId="13" fillId="9" borderId="0" xfId="0" applyNumberFormat="1" applyFont="1" applyFill="1" applyAlignment="1">
      <alignment horizontal="left" vertical="center" wrapText="1"/>
    </xf>
    <xf numFmtId="0" fontId="14" fillId="9" borderId="0" xfId="0" applyFont="1" applyFill="1" applyAlignment="1">
      <alignment horizontal="left" vertical="center" wrapText="1"/>
    </xf>
    <xf numFmtId="1" fontId="13" fillId="0" borderId="0" xfId="0" applyNumberFormat="1" applyFont="1" applyAlignment="1">
      <alignment horizontal="left" vertical="center" wrapText="1"/>
    </xf>
    <xf numFmtId="0" fontId="17" fillId="0" borderId="0" xfId="0" applyFont="1" applyAlignment="1">
      <alignment horizontal="left" vertical="center" wrapText="1"/>
    </xf>
    <xf numFmtId="0" fontId="14" fillId="0" borderId="0" xfId="0" applyFont="1" applyAlignment="1">
      <alignment horizontal="left" vertical="center" wrapText="1"/>
    </xf>
    <xf numFmtId="1" fontId="13" fillId="0" borderId="0" xfId="2" applyNumberFormat="1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1" fillId="11" borderId="11" xfId="0" applyFont="1" applyFill="1" applyBorder="1" applyAlignment="1">
      <alignment horizontal="center"/>
    </xf>
    <xf numFmtId="0" fontId="11" fillId="11" borderId="12" xfId="0" applyFont="1" applyFill="1" applyBorder="1" applyAlignment="1">
      <alignment horizontal="center"/>
    </xf>
    <xf numFmtId="0" fontId="11" fillId="11" borderId="17" xfId="0" applyFont="1" applyFill="1" applyBorder="1" applyAlignment="1">
      <alignment horizontal="center"/>
    </xf>
    <xf numFmtId="0" fontId="3" fillId="16" borderId="15" xfId="0" applyFont="1" applyFill="1" applyBorder="1" applyAlignment="1">
      <alignment horizontal="center"/>
    </xf>
    <xf numFmtId="167" fontId="4" fillId="17" borderId="0" xfId="0" applyNumberFormat="1" applyFont="1" applyFill="1" applyAlignment="1">
      <alignment horizontal="left" vertical="top"/>
    </xf>
    <xf numFmtId="0" fontId="4" fillId="0" borderId="4" xfId="0" applyFont="1" applyBorder="1" applyAlignment="1">
      <alignment horizontal="center"/>
    </xf>
    <xf numFmtId="0" fontId="22" fillId="16" borderId="12" xfId="0" applyFont="1" applyFill="1" applyBorder="1" applyAlignment="1">
      <alignment horizontal="center"/>
    </xf>
    <xf numFmtId="0" fontId="22" fillId="16" borderId="14" xfId="0" applyFont="1" applyFill="1" applyBorder="1" applyAlignment="1">
      <alignment horizontal="center"/>
    </xf>
    <xf numFmtId="0" fontId="22" fillId="16" borderId="0" xfId="0" applyFont="1" applyFill="1" applyAlignment="1">
      <alignment horizontal="center"/>
    </xf>
    <xf numFmtId="0" fontId="22" fillId="16" borderId="4" xfId="0" applyFont="1" applyFill="1" applyBorder="1" applyAlignment="1">
      <alignment horizontal="center"/>
    </xf>
    <xf numFmtId="0" fontId="10" fillId="0" borderId="16" xfId="0" applyFont="1" applyBorder="1"/>
    <xf numFmtId="0" fontId="11" fillId="18" borderId="17" xfId="0" applyFont="1" applyFill="1" applyBorder="1" applyAlignment="1">
      <alignment horizontal="center"/>
    </xf>
    <xf numFmtId="0" fontId="11" fillId="18" borderId="13" xfId="0" applyFont="1" applyFill="1" applyBorder="1" applyAlignment="1">
      <alignment horizontal="center"/>
    </xf>
    <xf numFmtId="0" fontId="4" fillId="0" borderId="0" xfId="2" applyFont="1" applyFill="1" applyAlignment="1">
      <alignment vertical="top"/>
    </xf>
    <xf numFmtId="0" fontId="4" fillId="0" borderId="0" xfId="2" applyNumberFormat="1" applyFont="1" applyFill="1" applyAlignment="1">
      <alignment vertical="top"/>
    </xf>
    <xf numFmtId="1" fontId="4" fillId="5" borderId="0" xfId="0" applyNumberFormat="1" applyFont="1" applyFill="1" applyBorder="1" applyAlignment="1">
      <alignment horizontal="right" vertical="top"/>
    </xf>
    <xf numFmtId="0" fontId="4" fillId="5" borderId="0" xfId="0" applyFont="1" applyFill="1" applyBorder="1" applyAlignment="1">
      <alignment horizontal="right" vertical="top"/>
    </xf>
    <xf numFmtId="14" fontId="4" fillId="0" borderId="0" xfId="2" applyNumberFormat="1" applyFont="1" applyFill="1" applyAlignment="1">
      <alignment horizontal="left" vertical="center" wrapText="1"/>
    </xf>
    <xf numFmtId="0" fontId="4" fillId="0" borderId="0" xfId="2" applyFont="1" applyFill="1" applyAlignment="1">
      <alignment horizontal="center"/>
    </xf>
    <xf numFmtId="0" fontId="13" fillId="0" borderId="0" xfId="2" applyFont="1" applyFill="1" applyAlignment="1">
      <alignment horizontal="center"/>
    </xf>
    <xf numFmtId="14" fontId="4" fillId="5" borderId="0" xfId="2" applyNumberFormat="1" applyFont="1" applyFill="1" applyAlignment="1">
      <alignment horizontal="right" vertical="top"/>
    </xf>
    <xf numFmtId="14" fontId="4" fillId="5" borderId="0" xfId="2" applyNumberFormat="1" applyFont="1" applyFill="1" applyAlignment="1">
      <alignment horizontal="center"/>
    </xf>
    <xf numFmtId="0" fontId="4" fillId="0" borderId="0" xfId="2" applyNumberFormat="1" applyFont="1" applyFill="1" applyAlignment="1">
      <alignment horizontal="center"/>
    </xf>
    <xf numFmtId="14" fontId="4" fillId="0" borderId="0" xfId="2" applyNumberFormat="1" applyFont="1" applyFill="1" applyAlignment="1">
      <alignment horizontal="center"/>
    </xf>
    <xf numFmtId="44" fontId="12" fillId="8" borderId="0" xfId="1" applyFont="1" applyFill="1" applyAlignment="1">
      <alignment horizontal="left" vertical="top" wrapText="1"/>
    </xf>
    <xf numFmtId="44" fontId="16" fillId="9" borderId="0" xfId="1" applyFont="1" applyFill="1" applyAlignment="1">
      <alignment horizontal="left" vertical="center" wrapText="1"/>
    </xf>
    <xf numFmtId="44" fontId="16" fillId="0" borderId="0" xfId="1" applyFont="1" applyAlignment="1">
      <alignment horizontal="left" vertical="center" wrapText="1"/>
    </xf>
    <xf numFmtId="44" fontId="4" fillId="0" borderId="0" xfId="1" applyFont="1" applyAlignment="1">
      <alignment horizontal="right" vertical="top" wrapText="1"/>
    </xf>
    <xf numFmtId="44" fontId="15" fillId="9" borderId="0" xfId="1" applyFont="1" applyFill="1" applyAlignment="1">
      <alignment horizontal="left" vertical="center" wrapText="1"/>
    </xf>
    <xf numFmtId="44" fontId="15" fillId="0" borderId="0" xfId="1" applyFont="1" applyAlignment="1">
      <alignment horizontal="left" vertical="center" wrapText="1"/>
    </xf>
    <xf numFmtId="44" fontId="12" fillId="8" borderId="0" xfId="1" applyFont="1" applyFill="1" applyAlignment="1">
      <alignment horizontal="right" vertical="top" wrapText="1"/>
    </xf>
    <xf numFmtId="44" fontId="4" fillId="9" borderId="0" xfId="1" applyFont="1" applyFill="1" applyAlignment="1">
      <alignment horizontal="left" vertical="center" wrapText="1"/>
    </xf>
    <xf numFmtId="44" fontId="4" fillId="0" borderId="0" xfId="1" applyFont="1" applyAlignment="1">
      <alignment horizontal="left" vertical="center" wrapText="1"/>
    </xf>
    <xf numFmtId="44" fontId="15" fillId="0" borderId="0" xfId="0" applyNumberFormat="1" applyFont="1" applyAlignment="1">
      <alignment horizontal="right" vertical="top" wrapText="1"/>
    </xf>
    <xf numFmtId="44" fontId="16" fillId="0" borderId="0" xfId="0" applyNumberFormat="1" applyFont="1" applyAlignment="1">
      <alignment horizontal="right" vertical="top" wrapText="1"/>
    </xf>
    <xf numFmtId="44" fontId="0" fillId="0" borderId="0" xfId="0" applyNumberFormat="1" applyFont="1" applyAlignment="1">
      <alignment horizontal="right" vertical="top" wrapText="1"/>
    </xf>
    <xf numFmtId="0" fontId="13" fillId="9" borderId="0" xfId="0" applyFont="1" applyFill="1" applyBorder="1" applyAlignment="1" applyProtection="1">
      <alignment horizontal="left" vertical="center" wrapText="1"/>
      <protection locked="0"/>
    </xf>
    <xf numFmtId="1" fontId="13" fillId="9" borderId="0" xfId="0" applyNumberFormat="1" applyFont="1" applyFill="1" applyBorder="1" applyAlignment="1">
      <alignment horizontal="left" vertical="center" wrapText="1"/>
    </xf>
    <xf numFmtId="0" fontId="14" fillId="9" borderId="0" xfId="0" applyFont="1" applyFill="1" applyBorder="1" applyAlignment="1">
      <alignment horizontal="left" vertical="center" wrapText="1"/>
    </xf>
    <xf numFmtId="44" fontId="15" fillId="9" borderId="0" xfId="1" applyFont="1" applyFill="1" applyBorder="1" applyAlignment="1">
      <alignment horizontal="left" vertical="center" wrapText="1"/>
    </xf>
    <xf numFmtId="44" fontId="16" fillId="9" borderId="0" xfId="1" applyFont="1" applyFill="1" applyBorder="1" applyAlignment="1">
      <alignment horizontal="left" vertical="center" wrapText="1"/>
    </xf>
    <xf numFmtId="0" fontId="4" fillId="14" borderId="0" xfId="0" applyFont="1" applyFill="1" applyBorder="1" applyAlignment="1">
      <alignment horizontal="center"/>
    </xf>
    <xf numFmtId="0" fontId="3" fillId="16" borderId="0" xfId="0" applyFont="1" applyFill="1" applyBorder="1" applyAlignment="1">
      <alignment horizontal="center"/>
    </xf>
    <xf numFmtId="0" fontId="13" fillId="10" borderId="5" xfId="0" applyFont="1" applyFill="1" applyBorder="1" applyAlignment="1" applyProtection="1">
      <alignment horizontal="left" vertical="center" wrapText="1"/>
      <protection locked="0"/>
    </xf>
    <xf numFmtId="0" fontId="4" fillId="0" borderId="11" xfId="0" applyFont="1" applyFill="1" applyBorder="1" applyAlignment="1">
      <alignment horizontal="center"/>
    </xf>
    <xf numFmtId="0" fontId="4" fillId="0" borderId="12" xfId="0" applyFont="1" applyFill="1" applyBorder="1" applyAlignment="1">
      <alignment horizontal="center"/>
    </xf>
    <xf numFmtId="0" fontId="13" fillId="0" borderId="5" xfId="0" applyFont="1" applyBorder="1" applyAlignment="1" applyProtection="1">
      <alignment horizontal="left" vertical="center" wrapText="1"/>
      <protection locked="0"/>
    </xf>
    <xf numFmtId="0" fontId="13" fillId="10" borderId="0" xfId="0" applyFont="1" applyFill="1" applyBorder="1" applyAlignment="1" applyProtection="1">
      <alignment horizontal="left" vertical="center" wrapText="1"/>
      <protection locked="0"/>
    </xf>
    <xf numFmtId="14" fontId="10" fillId="17" borderId="0" xfId="0" applyNumberFormat="1" applyFont="1" applyFill="1"/>
    <xf numFmtId="0" fontId="10" fillId="17" borderId="0" xfId="0" applyFont="1" applyFill="1"/>
    <xf numFmtId="0" fontId="20" fillId="0" borderId="4" xfId="0" applyFont="1" applyFill="1" applyBorder="1"/>
    <xf numFmtId="0" fontId="11" fillId="0" borderId="16" xfId="0" applyFont="1" applyFill="1" applyBorder="1" applyAlignment="1">
      <alignment horizontal="center"/>
    </xf>
    <xf numFmtId="165" fontId="4" fillId="0" borderId="0" xfId="2" applyNumberFormat="1" applyFont="1" applyFill="1" applyAlignment="1">
      <alignment vertical="top"/>
    </xf>
    <xf numFmtId="14" fontId="4" fillId="0" borderId="0" xfId="2" applyNumberFormat="1" applyFont="1" applyFill="1" applyAlignment="1">
      <alignment vertical="top"/>
    </xf>
    <xf numFmtId="167" fontId="4" fillId="19" borderId="0" xfId="0" applyNumberFormat="1" applyFont="1" applyFill="1" applyAlignment="1">
      <alignment horizontal="left" vertical="top"/>
    </xf>
    <xf numFmtId="0" fontId="23" fillId="0" borderId="0" xfId="2" applyNumberFormat="1" applyFont="1" applyFill="1" applyAlignment="1">
      <alignment vertical="top"/>
    </xf>
    <xf numFmtId="14" fontId="4" fillId="5" borderId="0" xfId="2" applyNumberFormat="1" applyFont="1" applyFill="1" applyBorder="1" applyAlignment="1">
      <alignment horizontal="right" vertical="top"/>
    </xf>
    <xf numFmtId="0" fontId="13" fillId="9" borderId="5" xfId="0" applyFont="1" applyFill="1" applyBorder="1" applyAlignment="1" applyProtection="1">
      <alignment horizontal="left" vertical="center" wrapText="1"/>
      <protection locked="0"/>
    </xf>
    <xf numFmtId="14" fontId="10" fillId="19" borderId="0" xfId="0" applyNumberFormat="1" applyFont="1" applyFill="1"/>
    <xf numFmtId="0" fontId="10" fillId="19" borderId="0" xfId="0" applyFont="1" applyFill="1"/>
    <xf numFmtId="14" fontId="10" fillId="20" borderId="0" xfId="0" applyNumberFormat="1" applyFont="1" applyFill="1"/>
    <xf numFmtId="0" fontId="10" fillId="20" borderId="0" xfId="0" applyFont="1" applyFill="1"/>
    <xf numFmtId="167" fontId="4" fillId="20" borderId="0" xfId="0" applyNumberFormat="1" applyFont="1" applyFill="1" applyAlignment="1">
      <alignment horizontal="left" vertical="top"/>
    </xf>
    <xf numFmtId="0" fontId="24" fillId="0" borderId="0" xfId="2" applyFont="1" applyFill="1" applyAlignment="1">
      <alignment horizontal="center"/>
    </xf>
    <xf numFmtId="44" fontId="25" fillId="0" borderId="0" xfId="1" applyFont="1" applyFill="1" applyAlignment="1">
      <alignment horizontal="center"/>
    </xf>
    <xf numFmtId="0" fontId="24" fillId="0" borderId="0" xfId="2" applyFont="1" applyFill="1" applyAlignment="1">
      <alignment vertical="top"/>
    </xf>
    <xf numFmtId="0" fontId="7" fillId="2" borderId="0" xfId="2" applyNumberFormat="1" applyFont="1" applyFill="1" applyBorder="1" applyAlignment="1"/>
    <xf numFmtId="0" fontId="7" fillId="2" borderId="19" xfId="2" applyFont="1" applyFill="1" applyBorder="1"/>
    <xf numFmtId="0" fontId="7" fillId="2" borderId="18" xfId="2" applyFont="1" applyFill="1" applyBorder="1"/>
    <xf numFmtId="44" fontId="8" fillId="3" borderId="0" xfId="3" applyNumberFormat="1" applyFont="1" applyFill="1" applyBorder="1"/>
    <xf numFmtId="44" fontId="5" fillId="0" borderId="18" xfId="1" applyFont="1" applyFill="1" applyBorder="1" applyAlignment="1"/>
    <xf numFmtId="0" fontId="6" fillId="3" borderId="0" xfId="2" applyNumberFormat="1" applyFont="1" applyFill="1" applyBorder="1" applyAlignment="1"/>
    <xf numFmtId="0" fontId="6" fillId="0" borderId="18" xfId="2" applyNumberFormat="1" applyFont="1" applyFill="1" applyBorder="1" applyAlignment="1"/>
    <xf numFmtId="0" fontId="5" fillId="3" borderId="0" xfId="2" applyNumberFormat="1" applyFont="1" applyFill="1" applyBorder="1" applyAlignment="1"/>
    <xf numFmtId="0" fontId="5" fillId="0" borderId="18" xfId="2" applyNumberFormat="1" applyFont="1" applyFill="1" applyBorder="1" applyAlignment="1"/>
    <xf numFmtId="0" fontId="8" fillId="3" borderId="0" xfId="3" applyNumberFormat="1" applyFont="1" applyFill="1" applyBorder="1"/>
    <xf numFmtId="44" fontId="5" fillId="0" borderId="20" xfId="1" applyFont="1" applyFill="1" applyBorder="1" applyAlignment="1"/>
    <xf numFmtId="0" fontId="11" fillId="0" borderId="17" xfId="0" applyFont="1" applyFill="1" applyBorder="1" applyAlignment="1">
      <alignment horizontal="center"/>
    </xf>
    <xf numFmtId="0" fontId="4" fillId="0" borderId="0" xfId="0" applyFont="1" applyFill="1" applyAlignment="1">
      <alignment horizontal="center"/>
    </xf>
    <xf numFmtId="0" fontId="11" fillId="0" borderId="13" xfId="0" applyFont="1" applyFill="1" applyBorder="1" applyAlignment="1">
      <alignment horizontal="center"/>
    </xf>
    <xf numFmtId="0" fontId="4" fillId="0" borderId="14" xfId="0" applyFont="1" applyFill="1" applyBorder="1" applyAlignment="1">
      <alignment horizontal="center"/>
    </xf>
    <xf numFmtId="0" fontId="4" fillId="0" borderId="15" xfId="0" applyFont="1" applyFill="1" applyBorder="1" applyAlignment="1">
      <alignment horizontal="center"/>
    </xf>
    <xf numFmtId="0" fontId="4" fillId="0" borderId="4" xfId="0" applyFont="1" applyFill="1" applyBorder="1" applyAlignment="1">
      <alignment horizontal="center"/>
    </xf>
    <xf numFmtId="0" fontId="20" fillId="0" borderId="12" xfId="0" applyFont="1" applyFill="1" applyBorder="1" applyAlignment="1">
      <alignment horizontal="center"/>
    </xf>
    <xf numFmtId="0" fontId="20" fillId="0" borderId="14" xfId="0" applyFont="1" applyFill="1" applyBorder="1" applyAlignment="1">
      <alignment horizontal="center"/>
    </xf>
    <xf numFmtId="0" fontId="20" fillId="0" borderId="0" xfId="0" applyFont="1" applyFill="1" applyAlignment="1">
      <alignment horizontal="center"/>
    </xf>
    <xf numFmtId="0" fontId="20" fillId="0" borderId="4" xfId="0" applyFont="1" applyFill="1" applyBorder="1" applyAlignment="1">
      <alignment horizontal="center"/>
    </xf>
    <xf numFmtId="0" fontId="20" fillId="0" borderId="15" xfId="0" applyFont="1" applyFill="1" applyBorder="1" applyAlignment="1">
      <alignment horizontal="center"/>
    </xf>
    <xf numFmtId="0" fontId="20" fillId="0" borderId="16" xfId="0" applyFont="1" applyFill="1" applyBorder="1"/>
    <xf numFmtId="0" fontId="4" fillId="0" borderId="0" xfId="0" applyFont="1" applyFill="1" applyBorder="1" applyAlignment="1">
      <alignment horizontal="center"/>
    </xf>
    <xf numFmtId="0" fontId="20" fillId="0" borderId="0" xfId="0" applyFont="1" applyFill="1" applyBorder="1" applyAlignment="1">
      <alignment horizontal="center"/>
    </xf>
    <xf numFmtId="0" fontId="4" fillId="0" borderId="0" xfId="2" applyFill="1" applyAlignment="1">
      <alignment horizontal="right" vertical="top"/>
    </xf>
    <xf numFmtId="0" fontId="4" fillId="21" borderId="0" xfId="2" applyFill="1" applyAlignment="1">
      <alignment horizontal="right" vertical="top"/>
    </xf>
    <xf numFmtId="0" fontId="10" fillId="13" borderId="0" xfId="0" applyFont="1" applyFill="1"/>
    <xf numFmtId="0" fontId="4" fillId="0" borderId="0" xfId="2" applyFont="1" applyAlignment="1">
      <alignment horizontal="left" vertical="center" wrapText="1"/>
    </xf>
    <xf numFmtId="44" fontId="4" fillId="0" borderId="0" xfId="1" applyNumberFormat="1" applyFont="1" applyAlignment="1">
      <alignment horizontal="left" vertical="center" wrapText="1"/>
    </xf>
    <xf numFmtId="44" fontId="5" fillId="0" borderId="0" xfId="1" applyFont="1" applyFill="1" applyAlignment="1"/>
    <xf numFmtId="0" fontId="5" fillId="0" borderId="0" xfId="2" applyNumberFormat="1" applyFont="1" applyFill="1" applyAlignment="1"/>
    <xf numFmtId="0" fontId="4" fillId="21" borderId="0" xfId="2" applyFont="1" applyFill="1" applyAlignment="1">
      <alignment vertical="top"/>
    </xf>
    <xf numFmtId="0" fontId="4" fillId="11" borderId="0" xfId="2" applyFont="1" applyFill="1" applyAlignment="1">
      <alignment vertical="top"/>
    </xf>
    <xf numFmtId="44" fontId="13" fillId="0" borderId="0" xfId="1" applyFont="1" applyFill="1" applyAlignment="1">
      <alignment horizontal="center"/>
    </xf>
    <xf numFmtId="0" fontId="4" fillId="11" borderId="0" xfId="2" applyFill="1" applyAlignment="1">
      <alignment horizontal="right" vertical="top"/>
    </xf>
    <xf numFmtId="0" fontId="26" fillId="0" borderId="0" xfId="2" applyFont="1" applyFill="1" applyAlignment="1">
      <alignment horizontal="center"/>
    </xf>
    <xf numFmtId="44" fontId="27" fillId="0" borderId="0" xfId="1" applyFont="1" applyFill="1" applyAlignment="1">
      <alignment horizontal="center"/>
    </xf>
    <xf numFmtId="0" fontId="26" fillId="0" borderId="0" xfId="2" applyNumberFormat="1" applyFont="1" applyFill="1" applyAlignment="1">
      <alignment vertical="top"/>
    </xf>
    <xf numFmtId="0" fontId="26" fillId="0" borderId="0" xfId="2" applyFont="1" applyFill="1" applyAlignment="1">
      <alignment vertical="top"/>
    </xf>
    <xf numFmtId="0" fontId="26" fillId="21" borderId="0" xfId="2" applyFont="1" applyFill="1" applyAlignment="1">
      <alignment vertical="top"/>
    </xf>
    <xf numFmtId="0" fontId="4" fillId="0" borderId="5" xfId="2" applyFont="1" applyBorder="1" applyAlignment="1">
      <alignment horizontal="left" vertical="center" wrapText="1"/>
    </xf>
    <xf numFmtId="0" fontId="19" fillId="12" borderId="0" xfId="0" applyFont="1" applyFill="1" applyAlignment="1"/>
    <xf numFmtId="0" fontId="6" fillId="0" borderId="0" xfId="2" applyNumberFormat="1" applyFont="1" applyFill="1" applyAlignment="1"/>
    <xf numFmtId="14" fontId="18" fillId="19" borderId="0" xfId="0" applyNumberFormat="1" applyFont="1" applyFill="1"/>
    <xf numFmtId="0" fontId="4" fillId="0" borderId="0" xfId="2" applyFont="1" applyBorder="1" applyAlignment="1">
      <alignment horizontal="left" vertical="center" wrapText="1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28" fillId="0" borderId="0" xfId="2" applyFont="1" applyFill="1" applyAlignment="1">
      <alignment horizontal="center"/>
    </xf>
    <xf numFmtId="44" fontId="29" fillId="0" borderId="0" xfId="1" applyFont="1" applyFill="1" applyAlignment="1">
      <alignment horizontal="center"/>
    </xf>
    <xf numFmtId="7" fontId="29" fillId="0" borderId="0" xfId="1" applyNumberFormat="1" applyFont="1" applyFill="1" applyAlignment="1">
      <alignment horizontal="center"/>
    </xf>
    <xf numFmtId="0" fontId="30" fillId="0" borderId="0" xfId="2" applyFont="1" applyFill="1" applyAlignment="1">
      <alignment horizontal="center"/>
    </xf>
    <xf numFmtId="44" fontId="31" fillId="0" borderId="0" xfId="1" applyFont="1" applyFill="1" applyAlignment="1">
      <alignment horizontal="center"/>
    </xf>
    <xf numFmtId="0" fontId="30" fillId="0" borderId="0" xfId="2" applyFont="1" applyFill="1" applyAlignment="1">
      <alignment vertical="top"/>
    </xf>
    <xf numFmtId="7" fontId="31" fillId="0" borderId="0" xfId="1" applyNumberFormat="1" applyFont="1" applyFill="1" applyAlignment="1">
      <alignment horizontal="center"/>
    </xf>
    <xf numFmtId="0" fontId="30" fillId="11" borderId="0" xfId="2" applyFont="1" applyFill="1" applyAlignment="1">
      <alignment vertical="top"/>
    </xf>
    <xf numFmtId="0" fontId="32" fillId="0" borderId="0" xfId="2" applyFont="1" applyFill="1" applyAlignment="1">
      <alignment horizontal="center"/>
    </xf>
    <xf numFmtId="44" fontId="33" fillId="0" borderId="0" xfId="1" applyFont="1" applyFill="1" applyAlignment="1">
      <alignment horizontal="center"/>
    </xf>
    <xf numFmtId="0" fontId="32" fillId="0" borderId="0" xfId="2" applyFont="1" applyFill="1" applyAlignment="1">
      <alignment vertical="top"/>
    </xf>
    <xf numFmtId="0" fontId="32" fillId="21" borderId="0" xfId="2" applyFont="1" applyFill="1" applyAlignment="1">
      <alignment vertical="top"/>
    </xf>
    <xf numFmtId="7" fontId="13" fillId="0" borderId="0" xfId="1" applyNumberFormat="1" applyFont="1" applyFill="1" applyAlignment="1">
      <alignment horizontal="center"/>
    </xf>
    <xf numFmtId="0" fontId="17" fillId="0" borderId="0" xfId="2" applyFont="1" applyAlignment="1">
      <alignment horizontal="left" vertical="center" wrapText="1"/>
    </xf>
    <xf numFmtId="0" fontId="11" fillId="18" borderId="16" xfId="0" applyFont="1" applyFill="1" applyBorder="1" applyAlignment="1">
      <alignment horizontal="center"/>
    </xf>
    <xf numFmtId="0" fontId="2" fillId="22" borderId="21" xfId="0" applyFont="1" applyFill="1" applyBorder="1"/>
    <xf numFmtId="0" fontId="2" fillId="22" borderId="5" xfId="0" applyFont="1" applyFill="1" applyBorder="1"/>
    <xf numFmtId="14" fontId="0" fillId="0" borderId="0" xfId="0" applyNumberFormat="1"/>
    <xf numFmtId="0" fontId="4" fillId="5" borderId="0" xfId="2" applyFont="1" applyFill="1" applyAlignment="1">
      <alignment horizontal="right" vertical="top"/>
    </xf>
    <xf numFmtId="0" fontId="4" fillId="5" borderId="0" xfId="0" applyNumberFormat="1" applyFont="1" applyFill="1" applyAlignment="1">
      <alignment horizontal="right" vertical="top"/>
    </xf>
    <xf numFmtId="0" fontId="9" fillId="4" borderId="2" xfId="2" applyFont="1" applyFill="1" applyBorder="1" applyAlignment="1">
      <alignment horizontal="center"/>
    </xf>
    <xf numFmtId="0" fontId="4" fillId="7" borderId="0" xfId="2" applyFill="1" applyAlignment="1">
      <alignment horizontal="center" vertical="top" wrapText="1"/>
    </xf>
    <xf numFmtId="17" fontId="21" fillId="15" borderId="11" xfId="0" applyNumberFormat="1" applyFont="1" applyFill="1" applyBorder="1" applyAlignment="1">
      <alignment horizontal="center" wrapText="1"/>
    </xf>
    <xf numFmtId="0" fontId="21" fillId="15" borderId="12" xfId="0" applyFont="1" applyFill="1" applyBorder="1" applyAlignment="1">
      <alignment horizontal="center" wrapText="1"/>
    </xf>
    <xf numFmtId="0" fontId="21" fillId="15" borderId="17" xfId="0" applyFont="1" applyFill="1" applyBorder="1" applyAlignment="1">
      <alignment horizontal="center" wrapText="1"/>
    </xf>
    <xf numFmtId="0" fontId="34" fillId="0" borderId="0" xfId="0" applyFont="1"/>
    <xf numFmtId="167" fontId="0" fillId="0" borderId="0" xfId="0" applyNumberFormat="1"/>
    <xf numFmtId="1" fontId="0" fillId="0" borderId="0" xfId="0" applyNumberFormat="1"/>
    <xf numFmtId="170" fontId="0" fillId="0" borderId="0" xfId="0" applyNumberFormat="1"/>
    <xf numFmtId="171" fontId="0" fillId="0" borderId="0" xfId="0" applyNumberFormat="1"/>
    <xf numFmtId="169" fontId="0" fillId="23" borderId="0" xfId="0" applyNumberFormat="1" applyFill="1"/>
    <xf numFmtId="169" fontId="0" fillId="24" borderId="0" xfId="0" applyNumberFormat="1" applyFill="1"/>
    <xf numFmtId="169" fontId="0" fillId="25" borderId="0" xfId="0" applyNumberFormat="1" applyFill="1"/>
    <xf numFmtId="169" fontId="0" fillId="13" borderId="0" xfId="0" applyNumberFormat="1" applyFill="1"/>
    <xf numFmtId="169" fontId="0" fillId="11" borderId="0" xfId="0" applyNumberFormat="1" applyFill="1"/>
    <xf numFmtId="169" fontId="35" fillId="26" borderId="0" xfId="0" applyNumberFormat="1" applyFont="1" applyFill="1"/>
    <xf numFmtId="170" fontId="0" fillId="24" borderId="0" xfId="0" applyNumberFormat="1" applyFill="1"/>
    <xf numFmtId="170" fontId="35" fillId="26" borderId="0" xfId="0" applyNumberFormat="1" applyFont="1" applyFill="1"/>
    <xf numFmtId="2" fontId="35" fillId="26" borderId="0" xfId="0" applyNumberFormat="1" applyFont="1" applyFill="1"/>
    <xf numFmtId="2" fontId="0" fillId="25" borderId="0" xfId="0" applyNumberFormat="1" applyFill="1"/>
    <xf numFmtId="2" fontId="0" fillId="11" borderId="0" xfId="0" applyNumberFormat="1" applyFill="1"/>
    <xf numFmtId="2" fontId="0" fillId="24" borderId="0" xfId="0" applyNumberFormat="1" applyFill="1"/>
    <xf numFmtId="2" fontId="0" fillId="13" borderId="0" xfId="0" applyNumberFormat="1" applyFill="1"/>
    <xf numFmtId="2" fontId="0" fillId="23" borderId="0" xfId="0" applyNumberFormat="1" applyFill="1"/>
    <xf numFmtId="1" fontId="35" fillId="26" borderId="0" xfId="0" applyNumberFormat="1" applyFont="1" applyFill="1"/>
    <xf numFmtId="1" fontId="0" fillId="25" borderId="0" xfId="0" applyNumberFormat="1" applyFill="1"/>
    <xf numFmtId="1" fontId="0" fillId="11" borderId="0" xfId="0" applyNumberFormat="1" applyFill="1"/>
    <xf numFmtId="1" fontId="0" fillId="24" borderId="0" xfId="0" applyNumberFormat="1" applyFill="1"/>
    <xf numFmtId="1" fontId="0" fillId="13" borderId="0" xfId="0" applyNumberFormat="1" applyFill="1"/>
    <xf numFmtId="1" fontId="0" fillId="23" borderId="0" xfId="0" applyNumberFormat="1" applyFill="1"/>
    <xf numFmtId="170" fontId="0" fillId="11" borderId="0" xfId="0" applyNumberFormat="1" applyFill="1"/>
    <xf numFmtId="170" fontId="0" fillId="13" borderId="0" xfId="0" applyNumberFormat="1" applyFill="1"/>
    <xf numFmtId="167" fontId="0" fillId="21" borderId="0" xfId="0" applyNumberFormat="1" applyFill="1"/>
    <xf numFmtId="167" fontId="0" fillId="11" borderId="0" xfId="0" applyNumberFormat="1" applyFill="1"/>
    <xf numFmtId="170" fontId="0" fillId="23" borderId="0" xfId="0" applyNumberFormat="1" applyFill="1"/>
  </cellXfs>
  <cellStyles count="5">
    <cellStyle name="Moneda" xfId="1" builtinId="4"/>
    <cellStyle name="Moneda 2" xfId="3" xr:uid="{00000000-0005-0000-0000-000001000000}"/>
    <cellStyle name="Normal" xfId="0" builtinId="0"/>
    <cellStyle name="Normal 5 2" xfId="2" xr:uid="{00000000-0005-0000-0000-000003000000}"/>
    <cellStyle name="Porcentaje 2" xfId="4" xr:uid="{00000000-0005-0000-0000-000004000000}"/>
  </cellStyles>
  <dxfs count="10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-* #,##0\ _€_-;\-* #,##0\ _€_-;_-* &quot;-&quot;??\ _€_-;_-@_-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5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  <alignment horizontal="righ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2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2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righ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19" formatCode="dd/mm/yyyy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4" formatCode="_-* #,##0.00\ &quot;€&quot;_-;\-* #,##0.00\ &quot;€&quot;_-;_-* &quot;-&quot;??\ &quot;€&quot;_-;_-@_-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4" formatCode="_-* #,##0.00\ &quot;€&quot;_-;\-* #,##0.00\ &quot;€&quot;_-;_-* &quot;-&quot;??\ &quot;€&quot;_-;_-@_-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4" formatCode="_-* #,##0.00\ &quot;€&quot;_-;\-* #,##0.00\ &quot;€&quot;_-;_-* &quot;-&quot;??\ &quot;€&quot;_-;_-@_-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fill>
        <patternFill patternType="solid">
          <fgColor indexed="64"/>
          <bgColor indexed="22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fill>
        <patternFill patternType="solid">
          <fgColor indexed="64"/>
          <bgColor indexed="22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fill>
        <patternFill patternType="solid">
          <fgColor indexed="64"/>
          <bgColor indexed="22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0" formatCode="General"/>
    </dxf>
    <dxf>
      <border outline="0"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9"/>
        <name val="Arial"/>
        <scheme val="none"/>
      </font>
      <numFmt numFmtId="0" formatCode="General"/>
      <fill>
        <patternFill patternType="solid">
          <fgColor indexed="24"/>
          <bgColor indexed="20"/>
        </patternFill>
      </fill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3" displayName="Tabla3" ref="A2:M34" totalsRowCount="1" headerRowDxfId="99" dataDxfId="97" totalsRowDxfId="95" headerRowBorderDxfId="98" tableBorderDxfId="96" totalsRowBorderDxfId="94" dataCellStyle="Normal 5 2">
  <autoFilter ref="A2:M33" xr:uid="{00000000-0009-0000-0100-000001000000}"/>
  <sortState ref="A3:M12">
    <sortCondition ref="A2:A12"/>
  </sortState>
  <tableColumns count="13">
    <tableColumn id="1" xr3:uid="{00000000-0010-0000-0000-000001000000}" name="Año" totalsRowLabel="Total" dataDxfId="93" totalsRowDxfId="92" dataCellStyle="Normal 5 2"/>
    <tableColumn id="2" xr3:uid="{00000000-0010-0000-0000-000002000000}" name="Semana" totalsRowFunction="countNums" dataDxfId="91" totalsRowDxfId="90" dataCellStyle="Normal 5 2"/>
    <tableColumn id="3" xr3:uid="{00000000-0010-0000-0000-000003000000}" name="Etapa" dataDxfId="89" totalsRowDxfId="88" dataCellStyle="Normal 5 2"/>
    <tableColumn id="4" xr3:uid="{00000000-0010-0000-0000-000004000000}" name="Jugado " totalsRowFunction="sum" dataDxfId="87" totalsRowDxfId="86" dataCellStyle="Moneda"/>
    <tableColumn id="5" xr3:uid="{00000000-0010-0000-0000-000005000000}" name="Apuestas" totalsRowFunction="sum" dataDxfId="85" totalsRowDxfId="84" dataCellStyle="Normal 5 2"/>
    <tableColumn id="6" xr3:uid="{00000000-0010-0000-0000-000006000000}" name="Boletos" totalsRowFunction="sum" dataDxfId="83" totalsRowDxfId="82" dataCellStyle="Normal 5 2"/>
    <tableColumn id="7" xr3:uid="{00000000-0010-0000-0000-000007000000}" name="1 Acierto" totalsRowFunction="sum" dataDxfId="81" totalsRowDxfId="80" dataCellStyle="Normal 5 2"/>
    <tableColumn id="8" xr3:uid="{00000000-0010-0000-0000-000008000000}" name="2 Aciertos" totalsRowFunction="sum" dataDxfId="79" totalsRowDxfId="78" dataCellStyle="Normal 5 2"/>
    <tableColumn id="9" xr3:uid="{00000000-0010-0000-0000-000009000000}" name="2 + C Aciertos" totalsRowFunction="sum" dataDxfId="77" totalsRowDxfId="76" dataCellStyle="Normal 5 2"/>
    <tableColumn id="10" xr3:uid="{00000000-0010-0000-0000-00000A000000}" name="5ª Catg." totalsRowFunction="sum" dataDxfId="75" totalsRowDxfId="74" dataCellStyle="Normal 5 2"/>
    <tableColumn id="11" xr3:uid="{00000000-0010-0000-0000-00000B000000}" name="4ª Catg" totalsRowFunction="sum" dataDxfId="73" totalsRowDxfId="72" dataCellStyle="Normal 5 2"/>
    <tableColumn id="12" xr3:uid="{00000000-0010-0000-0000-00000C000000}" name="Premios" totalsRowFunction="sum" dataDxfId="71" totalsRowDxfId="70" dataCellStyle="Moneda"/>
    <tableColumn id="13" xr3:uid="{00000000-0010-0000-0000-00000D000000}" name="Reintegros" totalsRowFunction="sum" dataDxfId="69" totalsRowDxfId="68" dataCellStyle="Moneda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4" displayName="Tabla4" ref="A2:G115" totalsRowCount="1" headerRowDxfId="67" dataDxfId="66" headerRowCellStyle="Normal 5 2">
  <autoFilter ref="A2:G114" xr:uid="{00000000-0009-0000-0100-000003000000}"/>
  <sortState ref="A3:G78">
    <sortCondition ref="A2:A78"/>
  </sortState>
  <tableColumns count="7">
    <tableColumn id="1" xr3:uid="{00000000-0010-0000-0200-000001000000}" name="Fecha" totalsRowLabel="Total" dataDxfId="65" totalsRowDxfId="64" dataCellStyle="Normal 5 2"/>
    <tableColumn id="2" xr3:uid="{00000000-0010-0000-0200-000002000000}" name="Concepto" dataDxfId="63"/>
    <tableColumn id="3" xr3:uid="{00000000-0010-0000-0200-000003000000}" name="Semana" dataDxfId="62" totalsRowDxfId="61">
      <calculatedColumnFormula>WEEKNUM(A3,21)</calculatedColumnFormula>
    </tableColumn>
    <tableColumn id="4" xr3:uid="{00000000-0010-0000-0200-000004000000}" name="Participante" dataDxfId="60" totalsRowDxfId="59"/>
    <tableColumn id="5" xr3:uid="{00000000-0010-0000-0200-000005000000}" name="Ingresos" totalsRowFunction="sum" dataDxfId="58" totalsRowDxfId="57" dataCellStyle="Moneda"/>
    <tableColumn id="6" xr3:uid="{00000000-0010-0000-0200-000006000000}" name="Gasto " totalsRowFunction="sum" dataDxfId="56" totalsRowDxfId="55" dataCellStyle="Moneda"/>
    <tableColumn id="7" xr3:uid="{00000000-0010-0000-0200-000007000000}" name="Saldo" totalsRowFunction="custom" dataDxfId="54" totalsRowDxfId="53" dataCellStyle="Moneda">
      <calculatedColumnFormula>IF(ISNUMBER(G2),G2+Tabla4[[#This Row],[Ingresos]]-Tabla4[[#This Row],[Gasto ]],0+Tabla4[[#This Row],[Ingresos]]-Tabla4[[#This Row],[Gasto ]])</calculatedColumnFormula>
      <totalsRowFormula>+Tabla4[[#Totals],[Ingresos]]-Tabla4[[#Totals],[Gasto ]]</totalsRow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1" displayName="Tabla1" ref="A1:N649" totalsRowShown="0" headerRowDxfId="52" dataDxfId="51" tableBorderDxfId="50">
  <autoFilter ref="A1:N649" xr:uid="{00000000-0009-0000-0100-000002000000}"/>
  <tableColumns count="14">
    <tableColumn id="1" xr3:uid="{00000000-0010-0000-0100-000001000000}" name="N" dataDxfId="49"/>
    <tableColumn id="14" xr3:uid="{00000000-0010-0000-0100-00000E000000}" name="Sorteo" dataDxfId="48"/>
    <tableColumn id="2" xr3:uid="{00000000-0010-0000-0100-000002000000}" name="Fecha" dataDxfId="47" dataCellStyle="Normal 5 2"/>
    <tableColumn id="3" xr3:uid="{00000000-0010-0000-0100-000003000000}" name="Dia" dataDxfId="46">
      <calculatedColumnFormula>CHOOSE(WEEKDAY(C2),"D","L","M","X","J","V","S")</calculatedColumnFormula>
    </tableColumn>
    <tableColumn id="4" xr3:uid="{00000000-0010-0000-0100-000004000000}" name="Sem" dataDxfId="45">
      <calculatedColumnFormula>WEEKNUM(C2,21)</calculatedColumnFormula>
    </tableColumn>
    <tableColumn id="5" xr3:uid="{00000000-0010-0000-0100-000005000000}" name="N1" dataDxfId="44"/>
    <tableColumn id="6" xr3:uid="{00000000-0010-0000-0100-000006000000}" name="N2" dataDxfId="43"/>
    <tableColumn id="7" xr3:uid="{00000000-0010-0000-0100-000007000000}" name="N3" dataDxfId="42"/>
    <tableColumn id="8" xr3:uid="{00000000-0010-0000-0100-000008000000}" name="N4" dataDxfId="41"/>
    <tableColumn id="9" xr3:uid="{00000000-0010-0000-0100-000009000000}" name="N5" dataDxfId="40"/>
    <tableColumn id="10" xr3:uid="{00000000-0010-0000-0100-00000A000000}" name="N6" dataDxfId="39"/>
    <tableColumn id="11" xr3:uid="{00000000-0010-0000-0100-00000B000000}" name="C" dataDxfId="38"/>
    <tableColumn id="12" xr3:uid="{00000000-0010-0000-0100-00000C000000}" name="R" dataDxfId="37"/>
    <tableColumn id="13" xr3:uid="{00000000-0010-0000-0100-00000D000000}" name="Ord" dataDxfId="3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2" displayName="Tabla2" ref="A1:M45" totalsRowShown="0" headerRowDxfId="35" dataDxfId="34" dataCellStyle="Moneda">
  <autoFilter ref="A1:M45" xr:uid="{00000000-0009-0000-0100-000004000000}"/>
  <tableColumns count="13">
    <tableColumn id="1" xr3:uid="{00000000-0010-0000-0300-000001000000}" name="Id" dataDxfId="33"/>
    <tableColumn id="2" xr3:uid="{00000000-0010-0000-0300-000002000000}" name="Sem" dataDxfId="32" dataCellStyle="Normal 5 2">
      <calculatedColumnFormula>WEEKNUM(D2,21)</calculatedColumnFormula>
    </tableColumn>
    <tableColumn id="3" xr3:uid="{00000000-0010-0000-0300-000003000000}" name="Juego" dataDxfId="31" dataCellStyle="Normal 5 2"/>
    <tableColumn id="4" xr3:uid="{00000000-0010-0000-0300-000004000000}" name="Fecha" dataDxfId="30" dataCellStyle="Normal 5 2"/>
    <tableColumn id="5" xr3:uid="{00000000-0010-0000-0300-000005000000}" name="Fecha Hasta" dataDxfId="29" dataCellStyle="Normal 5 2"/>
    <tableColumn id="6" xr3:uid="{00000000-0010-0000-0300-000006000000}" name="Semanal" dataDxfId="28" dataCellStyle="Normal 5 2"/>
    <tableColumn id="7" xr3:uid="{00000000-0010-0000-0300-000007000000}" name="Reintegro" dataDxfId="27" dataCellStyle="Normal 5 2"/>
    <tableColumn id="8" xr3:uid="{00000000-0010-0000-0300-000008000000}" name="Apuestas" dataDxfId="26" dataCellStyle="Normal 5 2"/>
    <tableColumn id="9" xr3:uid="{00000000-0010-0000-0300-000009000000}" name="Coste" dataDxfId="25" dataCellStyle="Moneda">
      <calculatedColumnFormula>IF(C2="GP",H2*1.5,IF(C2="LP",H2*1,IF(C2="EU",H2*2,H2*0.5)))</calculatedColumnFormula>
    </tableColumn>
    <tableColumn id="10" xr3:uid="{00000000-0010-0000-0300-00000A000000}" name="Premios" dataDxfId="24" dataCellStyle="Moneda"/>
    <tableColumn id="11" xr3:uid="{00000000-0010-0000-0300-00000B000000}" name="Reintegros" dataDxfId="23" dataCellStyle="Moneda"/>
    <tableColumn id="12" xr3:uid="{00000000-0010-0000-0300-00000C000000}" name="Dia" dataDxfId="22" dataCellStyle="Normal 5 2">
      <calculatedColumnFormula>CHOOSE(WEEKDAY(D2),"D","L","M","X","J","V","S")</calculatedColumnFormula>
    </tableColumn>
    <tableColumn id="13" xr3:uid="{00000000-0010-0000-0300-00000D000000}" name="Notas" dataDxfId="21" dataCellStyle="Normal 5 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16" displayName="Tabla16" ref="A1:R45" totalsRowShown="0" headerRowDxfId="20" dataDxfId="18" headerRowBorderDxfId="19" dataCellStyle="Normal 5 2">
  <autoFilter ref="A1:R45" xr:uid="{00000000-0009-0000-0100-000005000000}"/>
  <tableColumns count="18">
    <tableColumn id="1" xr3:uid="{00000000-0010-0000-0400-000001000000}" name="Id" dataDxfId="17" dataCellStyle="Normal 5 2"/>
    <tableColumn id="2" xr3:uid="{00000000-0010-0000-0400-000002000000}" name="idBoleto" dataDxfId="16" dataCellStyle="Normal 5 2"/>
    <tableColumn id="3" xr3:uid="{00000000-0010-0000-0400-000003000000}" name="Fecha" dataDxfId="15" dataCellStyle="Normal 5 2"/>
    <tableColumn id="16" xr3:uid="{00000000-0010-0000-0400-000010000000}" name="Juego" dataDxfId="14" dataCellStyle="Normal 5 2"/>
    <tableColumn id="19" xr3:uid="{00000000-0010-0000-0400-000013000000}" name="Semana" dataDxfId="13" dataCellStyle="Normal 5 2">
      <calculatedColumnFormula>WEEKNUM(Tabla16[[#This Row],[Fecha]],21)</calculatedColumnFormula>
    </tableColumn>
    <tableColumn id="4" xr3:uid="{00000000-0010-0000-0400-000004000000}" name="N1" dataDxfId="12" dataCellStyle="Normal 5 2"/>
    <tableColumn id="5" xr3:uid="{00000000-0010-0000-0400-000005000000}" name="N2" dataDxfId="11" dataCellStyle="Normal 5 2"/>
    <tableColumn id="6" xr3:uid="{00000000-0010-0000-0400-000006000000}" name="N3" dataDxfId="10" dataCellStyle="Normal 5 2"/>
    <tableColumn id="7" xr3:uid="{00000000-0010-0000-0400-000007000000}" name="N4" dataDxfId="9" dataCellStyle="Normal 5 2"/>
    <tableColumn id="8" xr3:uid="{00000000-0010-0000-0400-000008000000}" name="N5" dataDxfId="8" dataCellStyle="Normal 5 2"/>
    <tableColumn id="9" xr3:uid="{00000000-0010-0000-0400-000009000000}" name="N6" dataDxfId="7" dataCellStyle="Normal 5 2"/>
    <tableColumn id="10" xr3:uid="{00000000-0010-0000-0400-00000A000000}" name="N7" dataDxfId="6" dataCellStyle="Normal 5 2"/>
    <tableColumn id="11" xr3:uid="{00000000-0010-0000-0400-00000B000000}" name="N8" dataDxfId="5" dataCellStyle="Normal 5 2"/>
    <tableColumn id="12" xr3:uid="{00000000-0010-0000-0400-00000C000000}" name="N9" dataDxfId="4" dataCellStyle="Normal 5 2"/>
    <tableColumn id="13" xr3:uid="{00000000-0010-0000-0400-00000D000000}" name="Aciertos" dataDxfId="3" dataCellStyle="Normal 5 2"/>
    <tableColumn id="14" xr3:uid="{00000000-0010-0000-0400-00000E000000}" name="Metodo" dataDxfId="2" dataCellStyle="Normal 5 2"/>
    <tableColumn id="17" xr3:uid="{00000000-0010-0000-0400-000011000000}" name="Coste" dataDxfId="1" dataCellStyle="Normal 5 2"/>
    <tableColumn id="18" xr3:uid="{00000000-0010-0000-0400-000012000000}" name="Premio" dataDxfId="0" dataCellStyle="Normal 5 2"/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F985BD3-64F5-46E5-9D72-52FD800DD919}" name="Tabla17" displayName="Tabla17" ref="A1:M2" totalsRowShown="0">
  <autoFilter ref="A1:M2" xr:uid="{BF2E1D1B-403A-43E2-B27E-0FB3962810D4}"/>
  <sortState ref="A2:M2">
    <sortCondition ref="A1:A2"/>
  </sortState>
  <tableColumns count="13">
    <tableColumn id="1" xr3:uid="{C83A3C28-E300-4063-B66B-8E636AB83490}" name="Id"/>
    <tableColumn id="2" xr3:uid="{FC240950-E74A-4F01-83A8-5883DC89127F}" name="TipoProcedimiento"/>
    <tableColumn id="4" xr3:uid="{60385872-8BE9-492B-A73F-3BB0BB8CC0D3}" name="Pronosticos"/>
    <tableColumn id="5" xr3:uid="{3A0EF1D0-9FCA-485B-A884-1655E8F21DE1}" name="ModalidadJuego"/>
    <tableColumn id="6" xr3:uid="{B29F5480-E19F-48F0-80C2-28CF87ED7284}" name="CriterioOrdenacion"/>
    <tableColumn id="7" xr3:uid="{DBBA6CDE-1BD3-4392-8159-C22D2DFA5977}" name="SentidoOrdenacion"/>
    <tableColumn id="8" xr3:uid="{E91DABF2-9888-41D0-92F4-9A45CBF1547E}" name="CriterioAgrupacion"/>
    <tableColumn id="9" xr3:uid="{D448016A-7039-4BB5-9617-0374859FACE0}" name="TipoMuestra"/>
    <tableColumn id="10" xr3:uid="{44FF654E-2326-486D-942D-E7BAA34BF0F7}" name="NumeroSorteos"/>
    <tableColumn id="11" xr3:uid="{2B2CCC13-1FB8-4333-8809-3EA414D6D874}" name="DiasAnalisis"/>
    <tableColumn id="3" xr3:uid="{6FFC9427-EE1C-40D4-A262-12D6A453DC0B}" name="FiltrosCombinacion"/>
    <tableColumn id="12" xr3:uid="{8AB826EE-3609-403D-B05D-C15F2B753458}" name="FechaAlta"/>
    <tableColumn id="14" xr3:uid="{C3C29418-E80F-43A1-9966-CCCAF9DD144E}" name="FechaModificac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0"/>
  <dimension ref="A1:P34"/>
  <sheetViews>
    <sheetView workbookViewId="0">
      <selection activeCell="L6" sqref="L6"/>
    </sheetView>
  </sheetViews>
  <sheetFormatPr baseColWidth="10" defaultColWidth="11.42578125" defaultRowHeight="14.25" x14ac:dyDescent="0.2"/>
  <cols>
    <col min="1" max="1" width="6.140625" style="1" bestFit="1" customWidth="1"/>
    <col min="2" max="2" width="9.140625" style="1" bestFit="1" customWidth="1"/>
    <col min="3" max="3" width="6.7109375" style="1" bestFit="1" customWidth="1"/>
    <col min="4" max="4" width="12.28515625" style="1" bestFit="1" customWidth="1"/>
    <col min="5" max="5" width="10.28515625" style="1" bestFit="1" customWidth="1"/>
    <col min="6" max="6" width="8.85546875" style="1" bestFit="1" customWidth="1"/>
    <col min="7" max="7" width="9.85546875" style="1" bestFit="1" customWidth="1"/>
    <col min="8" max="8" width="11.140625" style="1" bestFit="1" customWidth="1"/>
    <col min="9" max="9" width="15" style="1" bestFit="1" customWidth="1"/>
    <col min="10" max="10" width="8.85546875" style="1" bestFit="1" customWidth="1"/>
    <col min="11" max="11" width="8.28515625" style="1" bestFit="1" customWidth="1"/>
    <col min="12" max="12" width="10.5703125" style="1" bestFit="1" customWidth="1"/>
    <col min="13" max="13" width="12.28515625" style="1" bestFit="1" customWidth="1"/>
    <col min="14" max="14" width="11.42578125" style="1"/>
    <col min="15" max="15" width="13.7109375" style="1" bestFit="1" customWidth="1"/>
    <col min="16" max="16" width="12.28515625" style="1" bestFit="1" customWidth="1"/>
    <col min="17" max="16384" width="11.42578125" style="1"/>
  </cols>
  <sheetData>
    <row r="1" spans="1:16" ht="15.75" thickBot="1" x14ac:dyDescent="0.3">
      <c r="A1" s="205" t="s">
        <v>0</v>
      </c>
      <c r="B1" s="205"/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05"/>
      <c r="O1" s="205" t="s">
        <v>0</v>
      </c>
      <c r="P1" s="205"/>
    </row>
    <row r="2" spans="1:16" ht="15" x14ac:dyDescent="0.25">
      <c r="A2" s="16" t="s">
        <v>1</v>
      </c>
      <c r="B2" s="16" t="s">
        <v>2</v>
      </c>
      <c r="C2" s="16" t="s">
        <v>3</v>
      </c>
      <c r="D2" s="16" t="s">
        <v>4</v>
      </c>
      <c r="E2" s="16" t="s">
        <v>5</v>
      </c>
      <c r="F2" s="16" t="s">
        <v>6</v>
      </c>
      <c r="G2" s="16" t="s">
        <v>7</v>
      </c>
      <c r="H2" s="16" t="s">
        <v>8</v>
      </c>
      <c r="I2" s="16" t="s">
        <v>9</v>
      </c>
      <c r="J2" s="16" t="s">
        <v>10</v>
      </c>
      <c r="K2" s="16" t="s">
        <v>11</v>
      </c>
      <c r="L2" s="16" t="s">
        <v>12</v>
      </c>
      <c r="M2" s="16" t="s">
        <v>13</v>
      </c>
      <c r="O2" s="8" t="s">
        <v>14</v>
      </c>
      <c r="P2" s="15">
        <f>Tabla3[[#Totals],[Reintegros]]+Tabla3[[#Totals],[Premios]]-Tabla3[[#Totals],[Jugado ]]</f>
        <v>-1237.05</v>
      </c>
    </row>
    <row r="3" spans="1:16" ht="15" x14ac:dyDescent="0.25">
      <c r="A3" s="13">
        <v>2011</v>
      </c>
      <c r="B3" s="13">
        <v>47</v>
      </c>
      <c r="C3" s="13">
        <v>47</v>
      </c>
      <c r="D3" s="9">
        <v>228</v>
      </c>
      <c r="E3" s="12">
        <v>253</v>
      </c>
      <c r="F3" s="12">
        <v>197</v>
      </c>
      <c r="G3" s="11">
        <v>89</v>
      </c>
      <c r="H3" s="11">
        <v>33</v>
      </c>
      <c r="I3" s="11">
        <v>2</v>
      </c>
      <c r="J3" s="11">
        <v>2</v>
      </c>
      <c r="K3" s="10">
        <v>1</v>
      </c>
      <c r="L3" s="9">
        <v>70.14</v>
      </c>
      <c r="M3" s="9">
        <v>41</v>
      </c>
      <c r="O3" s="8" t="s">
        <v>15</v>
      </c>
      <c r="P3" s="14">
        <f>P2/(Tabla3[[#Totals],[Jugado ]]+Tabla3[[#Totals],[Premios]]+Tabla3[[#Totals],[Reintegros]])</f>
        <v>-0.40493297762647507</v>
      </c>
    </row>
    <row r="4" spans="1:16" ht="15" x14ac:dyDescent="0.25">
      <c r="A4" s="13">
        <v>2012</v>
      </c>
      <c r="B4" s="13">
        <v>52</v>
      </c>
      <c r="C4" s="13">
        <v>99</v>
      </c>
      <c r="D4" s="9">
        <v>120</v>
      </c>
      <c r="E4" s="12">
        <v>209</v>
      </c>
      <c r="F4" s="12">
        <v>209</v>
      </c>
      <c r="G4" s="11">
        <v>85</v>
      </c>
      <c r="H4" s="11">
        <v>38</v>
      </c>
      <c r="I4" s="11">
        <v>2</v>
      </c>
      <c r="J4" s="11">
        <v>6</v>
      </c>
      <c r="K4" s="10">
        <v>0</v>
      </c>
      <c r="L4" s="9">
        <v>56</v>
      </c>
      <c r="M4" s="9">
        <v>14</v>
      </c>
    </row>
    <row r="5" spans="1:16" ht="15" x14ac:dyDescent="0.25">
      <c r="A5" s="13">
        <v>2013</v>
      </c>
      <c r="B5" s="13">
        <v>52</v>
      </c>
      <c r="C5" s="13">
        <v>148</v>
      </c>
      <c r="D5" s="9">
        <v>132</v>
      </c>
      <c r="E5" s="12">
        <v>194</v>
      </c>
      <c r="F5" s="12">
        <v>194</v>
      </c>
      <c r="G5" s="11">
        <v>87</v>
      </c>
      <c r="H5" s="11">
        <v>43</v>
      </c>
      <c r="I5" s="11">
        <v>0</v>
      </c>
      <c r="J5" s="11">
        <v>4</v>
      </c>
      <c r="K5" s="10">
        <v>0</v>
      </c>
      <c r="L5" s="9">
        <v>32</v>
      </c>
      <c r="M5" s="9">
        <v>19</v>
      </c>
    </row>
    <row r="6" spans="1:16" ht="15" x14ac:dyDescent="0.25">
      <c r="A6" s="13">
        <v>2014</v>
      </c>
      <c r="B6" s="13">
        <v>52</v>
      </c>
      <c r="C6" s="13">
        <v>200</v>
      </c>
      <c r="D6" s="9">
        <v>144</v>
      </c>
      <c r="E6" s="12">
        <v>204</v>
      </c>
      <c r="F6" s="12">
        <v>204</v>
      </c>
      <c r="G6" s="11">
        <v>81</v>
      </c>
      <c r="H6" s="11">
        <v>32</v>
      </c>
      <c r="I6" s="11">
        <v>3</v>
      </c>
      <c r="J6" s="11">
        <v>3</v>
      </c>
      <c r="K6" s="10">
        <v>0</v>
      </c>
      <c r="L6" s="9">
        <v>24</v>
      </c>
      <c r="M6" s="9">
        <v>31</v>
      </c>
    </row>
    <row r="7" spans="1:16" ht="15" x14ac:dyDescent="0.25">
      <c r="A7" s="13">
        <v>2015</v>
      </c>
      <c r="B7" s="13">
        <v>53</v>
      </c>
      <c r="C7" s="13">
        <v>253</v>
      </c>
      <c r="D7" s="9">
        <v>172</v>
      </c>
      <c r="E7" s="12">
        <v>199</v>
      </c>
      <c r="F7" s="12">
        <v>199</v>
      </c>
      <c r="G7" s="11">
        <v>87</v>
      </c>
      <c r="H7" s="11">
        <v>34</v>
      </c>
      <c r="I7" s="11">
        <v>0</v>
      </c>
      <c r="J7" s="11">
        <v>4</v>
      </c>
      <c r="K7" s="10">
        <v>0</v>
      </c>
      <c r="L7" s="9">
        <v>32</v>
      </c>
      <c r="M7" s="9">
        <v>19</v>
      </c>
    </row>
    <row r="8" spans="1:16" ht="15" x14ac:dyDescent="0.25">
      <c r="A8" s="13">
        <v>2016</v>
      </c>
      <c r="B8" s="13">
        <v>52</v>
      </c>
      <c r="C8" s="13">
        <v>305</v>
      </c>
      <c r="D8" s="9">
        <v>210</v>
      </c>
      <c r="E8" s="12">
        <v>364</v>
      </c>
      <c r="F8" s="12">
        <v>364</v>
      </c>
      <c r="G8" s="11">
        <v>84</v>
      </c>
      <c r="H8" s="11">
        <v>35</v>
      </c>
      <c r="I8" s="11">
        <v>0</v>
      </c>
      <c r="J8" s="11">
        <v>4</v>
      </c>
      <c r="K8" s="10">
        <v>0</v>
      </c>
      <c r="L8" s="9">
        <v>21</v>
      </c>
      <c r="M8" s="9">
        <v>28</v>
      </c>
    </row>
    <row r="9" spans="1:16" ht="15" x14ac:dyDescent="0.25">
      <c r="A9" s="13">
        <v>2017</v>
      </c>
      <c r="B9" s="13">
        <v>52</v>
      </c>
      <c r="C9" s="13">
        <v>357</v>
      </c>
      <c r="D9" s="9">
        <v>340</v>
      </c>
      <c r="E9" s="12">
        <v>832</v>
      </c>
      <c r="F9" s="12">
        <v>832</v>
      </c>
      <c r="G9" s="11">
        <v>75</v>
      </c>
      <c r="H9" s="11">
        <v>33</v>
      </c>
      <c r="I9" s="11">
        <v>2</v>
      </c>
      <c r="J9" s="11">
        <v>11</v>
      </c>
      <c r="K9" s="10">
        <v>0</v>
      </c>
      <c r="L9" s="9">
        <v>122.68</v>
      </c>
      <c r="M9" s="9">
        <v>50</v>
      </c>
    </row>
    <row r="10" spans="1:16" ht="15" x14ac:dyDescent="0.25">
      <c r="A10" s="8">
        <v>2018</v>
      </c>
      <c r="B10" s="8">
        <v>52</v>
      </c>
      <c r="C10" s="8">
        <v>409</v>
      </c>
      <c r="D10" s="9">
        <v>420</v>
      </c>
      <c r="E10" s="12">
        <v>832</v>
      </c>
      <c r="F10" s="12">
        <v>415</v>
      </c>
      <c r="G10" s="11">
        <v>13</v>
      </c>
      <c r="H10" s="11">
        <v>5</v>
      </c>
      <c r="I10" s="11">
        <v>1</v>
      </c>
      <c r="J10" s="11">
        <v>0</v>
      </c>
      <c r="K10" s="10">
        <v>0</v>
      </c>
      <c r="L10" s="9">
        <v>48</v>
      </c>
      <c r="M10" s="9">
        <v>41</v>
      </c>
    </row>
    <row r="11" spans="1:16" ht="15" x14ac:dyDescent="0.25">
      <c r="A11" s="138">
        <v>2019</v>
      </c>
      <c r="B11" s="138">
        <v>52</v>
      </c>
      <c r="C11" s="138">
        <v>461</v>
      </c>
      <c r="D11" s="141">
        <v>300</v>
      </c>
      <c r="E11" s="143">
        <v>832</v>
      </c>
      <c r="F11" s="143">
        <v>416</v>
      </c>
      <c r="G11" s="145">
        <v>0</v>
      </c>
      <c r="H11" s="145">
        <v>0</v>
      </c>
      <c r="I11" s="145">
        <v>0</v>
      </c>
      <c r="J11" s="145">
        <v>0</v>
      </c>
      <c r="K11" s="147">
        <v>0</v>
      </c>
      <c r="L11" s="141">
        <v>180.13</v>
      </c>
      <c r="M11" s="141">
        <v>55</v>
      </c>
    </row>
    <row r="12" spans="1:16" ht="15" x14ac:dyDescent="0.25">
      <c r="A12" s="139">
        <v>2020</v>
      </c>
      <c r="B12" s="140">
        <v>1</v>
      </c>
      <c r="C12" s="140">
        <v>462</v>
      </c>
      <c r="D12" s="142">
        <v>20</v>
      </c>
      <c r="E12" s="144">
        <v>16</v>
      </c>
      <c r="F12" s="144">
        <v>8</v>
      </c>
      <c r="G12" s="146"/>
      <c r="H12" s="146"/>
      <c r="I12" s="146"/>
      <c r="J12" s="146"/>
      <c r="K12" s="146"/>
      <c r="L12" s="142">
        <v>4</v>
      </c>
      <c r="M12" s="148">
        <v>1</v>
      </c>
    </row>
    <row r="13" spans="1:16" ht="15" x14ac:dyDescent="0.25">
      <c r="A13" s="139">
        <v>2020</v>
      </c>
      <c r="B13" s="140">
        <v>2</v>
      </c>
      <c r="C13" s="140">
        <v>463</v>
      </c>
      <c r="D13" s="168">
        <v>0</v>
      </c>
      <c r="E13" s="144">
        <v>16</v>
      </c>
      <c r="F13" s="144">
        <v>8</v>
      </c>
      <c r="G13" s="169"/>
      <c r="H13" s="169"/>
      <c r="I13" s="169"/>
      <c r="J13" s="169"/>
      <c r="K13" s="169"/>
      <c r="L13" s="168">
        <v>0</v>
      </c>
      <c r="M13" s="168">
        <v>2</v>
      </c>
    </row>
    <row r="14" spans="1:16" ht="15" x14ac:dyDescent="0.25">
      <c r="A14" s="139">
        <v>2020</v>
      </c>
      <c r="B14" s="140">
        <v>3</v>
      </c>
      <c r="C14" s="140">
        <v>464</v>
      </c>
      <c r="D14" s="168">
        <v>0</v>
      </c>
      <c r="E14" s="144">
        <v>16</v>
      </c>
      <c r="F14" s="144">
        <v>8</v>
      </c>
      <c r="G14" s="169"/>
      <c r="H14" s="169"/>
      <c r="I14" s="169"/>
      <c r="J14" s="169"/>
      <c r="K14" s="169"/>
      <c r="L14" s="168">
        <v>0</v>
      </c>
      <c r="M14" s="168">
        <v>1</v>
      </c>
    </row>
    <row r="15" spans="1:16" ht="15" x14ac:dyDescent="0.25">
      <c r="A15" s="139">
        <v>2020</v>
      </c>
      <c r="B15" s="140">
        <v>4</v>
      </c>
      <c r="C15" s="140">
        <v>465</v>
      </c>
      <c r="D15" s="168">
        <v>20</v>
      </c>
      <c r="E15" s="144">
        <v>16</v>
      </c>
      <c r="F15" s="144">
        <v>8</v>
      </c>
      <c r="G15" s="169"/>
      <c r="H15" s="169"/>
      <c r="I15" s="169"/>
      <c r="J15" s="169"/>
      <c r="K15" s="169"/>
      <c r="L15" s="168">
        <v>0</v>
      </c>
      <c r="M15" s="168">
        <v>0</v>
      </c>
    </row>
    <row r="16" spans="1:16" ht="15" x14ac:dyDescent="0.25">
      <c r="A16" s="139">
        <v>2020</v>
      </c>
      <c r="B16" s="140">
        <v>5</v>
      </c>
      <c r="C16" s="140">
        <v>466</v>
      </c>
      <c r="D16" s="168">
        <v>0</v>
      </c>
      <c r="E16" s="144">
        <v>16</v>
      </c>
      <c r="F16" s="144">
        <v>8</v>
      </c>
      <c r="G16" s="169"/>
      <c r="H16" s="169"/>
      <c r="I16" s="169"/>
      <c r="J16" s="169"/>
      <c r="K16" s="169"/>
      <c r="L16" s="168">
        <v>4</v>
      </c>
      <c r="M16" s="168">
        <v>0</v>
      </c>
    </row>
    <row r="17" spans="1:13" ht="15" x14ac:dyDescent="0.25">
      <c r="A17" s="139">
        <v>2020</v>
      </c>
      <c r="B17" s="140">
        <v>6</v>
      </c>
      <c r="C17" s="140">
        <v>467</v>
      </c>
      <c r="D17" s="168">
        <v>20</v>
      </c>
      <c r="E17" s="144">
        <v>16</v>
      </c>
      <c r="F17" s="144">
        <v>8</v>
      </c>
      <c r="G17" s="169"/>
      <c r="H17" s="169"/>
      <c r="I17" s="169"/>
      <c r="J17" s="169"/>
      <c r="K17" s="169"/>
      <c r="L17" s="168">
        <v>4</v>
      </c>
      <c r="M17" s="168">
        <v>0</v>
      </c>
    </row>
    <row r="18" spans="1:13" ht="15" x14ac:dyDescent="0.25">
      <c r="A18" s="139">
        <v>2020</v>
      </c>
      <c r="B18" s="140">
        <v>7</v>
      </c>
      <c r="C18" s="140">
        <v>468</v>
      </c>
      <c r="D18" s="168">
        <v>0</v>
      </c>
      <c r="E18" s="181">
        <v>16</v>
      </c>
      <c r="F18" s="181">
        <v>8</v>
      </c>
      <c r="G18" s="169"/>
      <c r="H18" s="169"/>
      <c r="I18" s="169"/>
      <c r="J18" s="169"/>
      <c r="K18" s="169"/>
      <c r="L18" s="168">
        <v>0</v>
      </c>
      <c r="M18" s="168">
        <v>3</v>
      </c>
    </row>
    <row r="19" spans="1:13" ht="15" x14ac:dyDescent="0.25">
      <c r="A19" s="139">
        <v>2020</v>
      </c>
      <c r="B19" s="140">
        <v>8</v>
      </c>
      <c r="C19" s="140">
        <v>469</v>
      </c>
      <c r="D19" s="168">
        <v>0</v>
      </c>
      <c r="E19" s="181">
        <v>16</v>
      </c>
      <c r="F19" s="181">
        <v>8</v>
      </c>
      <c r="G19" s="169"/>
      <c r="H19" s="169"/>
      <c r="I19" s="169"/>
      <c r="J19" s="169"/>
      <c r="K19" s="169"/>
      <c r="L19" s="168">
        <v>0</v>
      </c>
      <c r="M19" s="168">
        <v>2</v>
      </c>
    </row>
    <row r="20" spans="1:13" ht="15" x14ac:dyDescent="0.25">
      <c r="A20" s="139">
        <v>2020</v>
      </c>
      <c r="B20" s="140">
        <v>9</v>
      </c>
      <c r="C20" s="140">
        <v>470</v>
      </c>
      <c r="D20" s="168">
        <v>0</v>
      </c>
      <c r="E20" s="181">
        <v>16</v>
      </c>
      <c r="F20" s="181">
        <v>8</v>
      </c>
      <c r="G20" s="169"/>
      <c r="H20" s="169"/>
      <c r="I20" s="169"/>
      <c r="J20" s="169"/>
      <c r="K20" s="169"/>
      <c r="L20" s="168">
        <v>0</v>
      </c>
      <c r="M20" s="168">
        <v>2</v>
      </c>
    </row>
    <row r="21" spans="1:13" ht="15" x14ac:dyDescent="0.25">
      <c r="A21" s="139">
        <v>2020</v>
      </c>
      <c r="B21" s="140">
        <v>10</v>
      </c>
      <c r="C21" s="140">
        <v>471</v>
      </c>
      <c r="D21" s="168">
        <v>20</v>
      </c>
      <c r="E21" s="181">
        <v>16</v>
      </c>
      <c r="F21" s="181">
        <v>8</v>
      </c>
      <c r="G21" s="169"/>
      <c r="H21" s="169"/>
      <c r="I21" s="169"/>
      <c r="J21" s="169"/>
      <c r="K21" s="169"/>
      <c r="L21" s="168">
        <v>0</v>
      </c>
      <c r="M21" s="168">
        <v>1</v>
      </c>
    </row>
    <row r="22" spans="1:13" ht="15" x14ac:dyDescent="0.25">
      <c r="A22" s="139">
        <v>2020</v>
      </c>
      <c r="B22" s="140">
        <v>11</v>
      </c>
      <c r="C22" s="140">
        <v>472</v>
      </c>
      <c r="D22" s="168">
        <v>0</v>
      </c>
      <c r="E22" s="181">
        <v>16</v>
      </c>
      <c r="F22" s="181">
        <v>8</v>
      </c>
      <c r="G22" s="169"/>
      <c r="H22" s="169"/>
      <c r="I22" s="169"/>
      <c r="J22" s="169"/>
      <c r="K22" s="169"/>
      <c r="L22" s="168">
        <v>0</v>
      </c>
      <c r="M22" s="168">
        <v>1</v>
      </c>
    </row>
    <row r="23" spans="1:13" ht="15" x14ac:dyDescent="0.25">
      <c r="A23" s="139">
        <v>2020</v>
      </c>
      <c r="B23" s="140">
        <v>12</v>
      </c>
      <c r="C23" s="140">
        <v>473</v>
      </c>
      <c r="D23" s="168">
        <v>0</v>
      </c>
      <c r="E23" s="181">
        <v>0</v>
      </c>
      <c r="F23" s="181">
        <v>0</v>
      </c>
      <c r="G23" s="169"/>
      <c r="H23" s="169"/>
      <c r="I23" s="169"/>
      <c r="J23" s="169"/>
      <c r="K23" s="169"/>
      <c r="L23" s="168">
        <v>0</v>
      </c>
      <c r="M23" s="168">
        <v>0</v>
      </c>
    </row>
    <row r="24" spans="1:13" ht="15" x14ac:dyDescent="0.25">
      <c r="A24" s="139">
        <v>2020</v>
      </c>
      <c r="B24" s="140">
        <v>13</v>
      </c>
      <c r="C24" s="140">
        <v>474</v>
      </c>
      <c r="D24" s="168">
        <v>0</v>
      </c>
      <c r="E24" s="181">
        <v>0</v>
      </c>
      <c r="F24" s="181">
        <v>0</v>
      </c>
      <c r="G24" s="169"/>
      <c r="H24" s="169"/>
      <c r="I24" s="169"/>
      <c r="J24" s="169"/>
      <c r="K24" s="169"/>
      <c r="L24" s="168">
        <v>0</v>
      </c>
      <c r="M24" s="168">
        <v>0</v>
      </c>
    </row>
    <row r="25" spans="1:13" ht="15" x14ac:dyDescent="0.25">
      <c r="A25" s="139">
        <v>2020</v>
      </c>
      <c r="B25" s="140">
        <v>14</v>
      </c>
      <c r="C25" s="140">
        <v>475</v>
      </c>
      <c r="D25" s="168">
        <v>0</v>
      </c>
      <c r="E25" s="181">
        <v>0</v>
      </c>
      <c r="F25" s="181">
        <v>0</v>
      </c>
      <c r="G25" s="169"/>
      <c r="H25" s="169"/>
      <c r="I25" s="169"/>
      <c r="J25" s="169"/>
      <c r="K25" s="169"/>
      <c r="L25" s="168">
        <v>0</v>
      </c>
      <c r="M25" s="168">
        <v>0</v>
      </c>
    </row>
    <row r="26" spans="1:13" ht="15" x14ac:dyDescent="0.25">
      <c r="A26" s="139">
        <v>2020</v>
      </c>
      <c r="B26" s="140">
        <v>15</v>
      </c>
      <c r="C26" s="140">
        <v>476</v>
      </c>
      <c r="D26" s="168">
        <v>0</v>
      </c>
      <c r="E26" s="181">
        <v>0</v>
      </c>
      <c r="F26" s="181">
        <v>0</v>
      </c>
      <c r="G26" s="169"/>
      <c r="H26" s="169"/>
      <c r="I26" s="169"/>
      <c r="J26" s="169"/>
      <c r="K26" s="169"/>
      <c r="L26" s="168">
        <v>0</v>
      </c>
      <c r="M26" s="168">
        <v>0</v>
      </c>
    </row>
    <row r="27" spans="1:13" ht="15" x14ac:dyDescent="0.25">
      <c r="A27" s="139">
        <v>2020</v>
      </c>
      <c r="B27" s="140">
        <v>16</v>
      </c>
      <c r="C27" s="140">
        <v>477</v>
      </c>
      <c r="D27" s="168">
        <v>0</v>
      </c>
      <c r="E27" s="181">
        <v>0</v>
      </c>
      <c r="F27" s="181">
        <v>0</v>
      </c>
      <c r="G27" s="169"/>
      <c r="H27" s="169"/>
      <c r="I27" s="169"/>
      <c r="J27" s="169"/>
      <c r="K27" s="169"/>
      <c r="L27" s="168">
        <v>0</v>
      </c>
      <c r="M27" s="168">
        <v>0</v>
      </c>
    </row>
    <row r="28" spans="1:13" ht="15" x14ac:dyDescent="0.25">
      <c r="A28" s="139">
        <v>2020</v>
      </c>
      <c r="B28" s="140">
        <v>17</v>
      </c>
      <c r="C28" s="140">
        <v>478</v>
      </c>
      <c r="D28" s="168">
        <v>0</v>
      </c>
      <c r="E28" s="181">
        <v>0</v>
      </c>
      <c r="F28" s="181">
        <v>0</v>
      </c>
      <c r="G28" s="169"/>
      <c r="H28" s="169"/>
      <c r="I28" s="169"/>
      <c r="J28" s="169"/>
      <c r="K28" s="169"/>
      <c r="L28" s="168">
        <v>0</v>
      </c>
      <c r="M28" s="168">
        <v>0</v>
      </c>
    </row>
    <row r="29" spans="1:13" ht="15" x14ac:dyDescent="0.25">
      <c r="A29" s="139">
        <v>2020</v>
      </c>
      <c r="B29" s="140">
        <v>18</v>
      </c>
      <c r="C29" s="140">
        <v>479</v>
      </c>
      <c r="D29" s="168">
        <v>0</v>
      </c>
      <c r="E29" s="181">
        <v>0</v>
      </c>
      <c r="F29" s="181">
        <v>0</v>
      </c>
      <c r="G29" s="169"/>
      <c r="H29" s="169"/>
      <c r="I29" s="169"/>
      <c r="J29" s="169"/>
      <c r="K29" s="169"/>
      <c r="L29" s="168">
        <v>0</v>
      </c>
      <c r="M29" s="168">
        <v>0</v>
      </c>
    </row>
    <row r="30" spans="1:13" ht="15" x14ac:dyDescent="0.25">
      <c r="A30" s="139">
        <v>2020</v>
      </c>
      <c r="B30" s="140">
        <v>19</v>
      </c>
      <c r="C30" s="140">
        <v>480</v>
      </c>
      <c r="D30" s="168">
        <v>0</v>
      </c>
      <c r="E30" s="181">
        <v>0</v>
      </c>
      <c r="F30" s="181">
        <v>0</v>
      </c>
      <c r="G30" s="169"/>
      <c r="H30" s="169"/>
      <c r="I30" s="169"/>
      <c r="J30" s="169"/>
      <c r="K30" s="169"/>
      <c r="L30" s="168">
        <v>0</v>
      </c>
      <c r="M30" s="168">
        <v>0</v>
      </c>
    </row>
    <row r="31" spans="1:13" ht="15" x14ac:dyDescent="0.25">
      <c r="A31" s="139">
        <v>2020</v>
      </c>
      <c r="B31" s="140">
        <v>20</v>
      </c>
      <c r="C31" s="140">
        <v>481</v>
      </c>
      <c r="D31" s="168">
        <v>0</v>
      </c>
      <c r="E31" s="181">
        <v>0</v>
      </c>
      <c r="F31" s="181">
        <v>0</v>
      </c>
      <c r="G31" s="169"/>
      <c r="H31" s="169"/>
      <c r="I31" s="169"/>
      <c r="J31" s="169"/>
      <c r="K31" s="169"/>
      <c r="L31" s="168">
        <v>0</v>
      </c>
      <c r="M31" s="168">
        <v>0</v>
      </c>
    </row>
    <row r="32" spans="1:13" ht="15" x14ac:dyDescent="0.25">
      <c r="A32" s="139">
        <v>2020</v>
      </c>
      <c r="B32" s="140">
        <v>21</v>
      </c>
      <c r="C32" s="140">
        <v>482</v>
      </c>
      <c r="D32" s="168"/>
      <c r="E32" s="181"/>
      <c r="F32" s="181"/>
      <c r="G32" s="169"/>
      <c r="H32" s="169"/>
      <c r="I32" s="169"/>
      <c r="J32" s="169"/>
      <c r="K32" s="169"/>
      <c r="L32" s="168"/>
      <c r="M32" s="168"/>
    </row>
    <row r="33" spans="1:13" ht="15.75" thickBot="1" x14ac:dyDescent="0.3">
      <c r="A33" s="139">
        <v>2020</v>
      </c>
      <c r="B33" s="140">
        <v>22</v>
      </c>
      <c r="C33" s="140">
        <v>483</v>
      </c>
      <c r="D33" s="168"/>
      <c r="E33" s="181"/>
      <c r="F33" s="181"/>
      <c r="G33" s="169"/>
      <c r="H33" s="169"/>
      <c r="I33" s="169"/>
      <c r="J33" s="169"/>
      <c r="K33" s="169"/>
      <c r="L33" s="168"/>
      <c r="M33" s="168"/>
    </row>
    <row r="34" spans="1:13" ht="15.75" thickBot="1" x14ac:dyDescent="0.3">
      <c r="A34" s="7" t="s">
        <v>16</v>
      </c>
      <c r="B34" s="6">
        <f>SUBTOTAL(102,Tabla3[Semana])</f>
        <v>31</v>
      </c>
      <c r="C34" s="6"/>
      <c r="D34" s="3">
        <f>SUBTOTAL(109,Tabla3[[Jugado ]])</f>
        <v>2146</v>
      </c>
      <c r="E34" s="5">
        <f>SUBTOTAL(109,Tabla3[Apuestas])</f>
        <v>4095</v>
      </c>
      <c r="F34" s="5">
        <f>SUBTOTAL(109,Tabla3[Boletos])</f>
        <v>3118</v>
      </c>
      <c r="G34" s="4">
        <f>SUBTOTAL(109,Tabla3[1 Acierto])</f>
        <v>601</v>
      </c>
      <c r="H34" s="4">
        <f>SUBTOTAL(109,Tabla3[2 Aciertos])</f>
        <v>253</v>
      </c>
      <c r="I34" s="4">
        <f>SUBTOTAL(109,Tabla3[2 + C Aciertos])</f>
        <v>10</v>
      </c>
      <c r="J34" s="4">
        <f>SUBTOTAL(109,Tabla3[5ª Catg.])</f>
        <v>34</v>
      </c>
      <c r="K34" s="4">
        <f>SUBTOTAL(109,Tabla3[4ª Catg])</f>
        <v>1</v>
      </c>
      <c r="L34" s="3">
        <f>SUBTOTAL(109,Tabla3[Premios])</f>
        <v>597.95000000000005</v>
      </c>
      <c r="M34" s="2">
        <f>SUBTOTAL(109,Tabla3[Reintegros])</f>
        <v>311</v>
      </c>
    </row>
  </sheetData>
  <mergeCells count="2">
    <mergeCell ref="A1:M1"/>
    <mergeCell ref="O1:P1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1"/>
  <dimension ref="A1:J115"/>
  <sheetViews>
    <sheetView topLeftCell="A97" zoomScale="130" zoomScaleNormal="130" workbookViewId="0">
      <selection activeCell="B113" sqref="B113"/>
    </sheetView>
  </sheetViews>
  <sheetFormatPr baseColWidth="10" defaultColWidth="19.7109375" defaultRowHeight="12.75" x14ac:dyDescent="0.25"/>
  <cols>
    <col min="1" max="1" width="10.140625" style="35" bestFit="1" customWidth="1"/>
    <col min="2" max="2" width="19.85546875" style="36" bestFit="1" customWidth="1"/>
    <col min="3" max="3" width="10.85546875" style="35" bestFit="1" customWidth="1"/>
    <col min="4" max="4" width="18.5703125" style="36" bestFit="1" customWidth="1"/>
    <col min="5" max="5" width="11.42578125" style="99" bestFit="1" customWidth="1"/>
    <col min="6" max="6" width="9.28515625" style="99" bestFit="1" customWidth="1"/>
    <col min="7" max="7" width="8.42578125" style="99" bestFit="1" customWidth="1"/>
    <col min="8" max="16384" width="19.7109375" style="29"/>
  </cols>
  <sheetData>
    <row r="1" spans="1:7" x14ac:dyDescent="0.25">
      <c r="A1" s="206" t="s">
        <v>594</v>
      </c>
      <c r="B1" s="206"/>
      <c r="C1" s="206"/>
      <c r="D1" s="206"/>
      <c r="E1" s="206"/>
      <c r="F1" s="206"/>
      <c r="G1" s="206"/>
    </row>
    <row r="2" spans="1:7" x14ac:dyDescent="0.25">
      <c r="A2" s="30" t="s">
        <v>19</v>
      </c>
      <c r="B2" s="30" t="s">
        <v>595</v>
      </c>
      <c r="C2" s="30" t="s">
        <v>2</v>
      </c>
      <c r="D2" s="30" t="s">
        <v>596</v>
      </c>
      <c r="E2" s="96" t="s">
        <v>597</v>
      </c>
      <c r="F2" s="96" t="s">
        <v>598</v>
      </c>
      <c r="G2" s="102" t="s">
        <v>599</v>
      </c>
    </row>
    <row r="3" spans="1:7" x14ac:dyDescent="0.25">
      <c r="A3" s="63">
        <v>43828</v>
      </c>
      <c r="B3" s="129" t="s">
        <v>603</v>
      </c>
      <c r="C3" s="65">
        <f t="shared" ref="C3:C34" si="0">WEEKNUM(A3,21)</f>
        <v>52</v>
      </c>
      <c r="D3" s="66" t="s">
        <v>601</v>
      </c>
      <c r="E3" s="111">
        <f>9.81</f>
        <v>9.81</v>
      </c>
      <c r="F3" s="97"/>
      <c r="G3" s="103">
        <f>IF(ISNUMBER(G2),G2+Tabla4[[#This Row],[Ingresos]]-Tabla4[[#This Row],[Gasto ]],0+Tabla4[[#This Row],[Ingresos]]-Tabla4[[#This Row],[Gasto ]])</f>
        <v>9.81</v>
      </c>
    </row>
    <row r="4" spans="1:7" x14ac:dyDescent="0.25">
      <c r="A4" s="63">
        <v>43828</v>
      </c>
      <c r="B4" s="64" t="s">
        <v>603</v>
      </c>
      <c r="C4" s="65">
        <f t="shared" si="0"/>
        <v>52</v>
      </c>
      <c r="D4" s="66" t="s">
        <v>602</v>
      </c>
      <c r="E4" s="100">
        <f>23-10+1</f>
        <v>14</v>
      </c>
      <c r="F4" s="97"/>
      <c r="G4" s="103">
        <f>IF(ISNUMBER(G3),G3+Tabla4[[#This Row],[Ingresos]]-Tabla4[[#This Row],[Gasto ]],0+Tabla4[[#This Row],[Ingresos]]-Tabla4[[#This Row],[Gasto ]])</f>
        <v>23.810000000000002</v>
      </c>
    </row>
    <row r="5" spans="1:7" x14ac:dyDescent="0.25">
      <c r="A5" s="89">
        <v>43829</v>
      </c>
      <c r="B5" s="118" t="s">
        <v>600</v>
      </c>
      <c r="C5" s="67">
        <f t="shared" si="0"/>
        <v>1</v>
      </c>
      <c r="D5" s="69" t="s">
        <v>601</v>
      </c>
      <c r="E5" s="101"/>
      <c r="F5" s="98">
        <v>6</v>
      </c>
      <c r="G5" s="104">
        <f>IF(ISNUMBER(G4),G4+Tabla4[[#This Row],[Ingresos]]-Tabla4[[#This Row],[Gasto ]],0+Tabla4[[#This Row],[Ingresos]]-Tabla4[[#This Row],[Gasto ]])</f>
        <v>17.810000000000002</v>
      </c>
    </row>
    <row r="6" spans="1:7" x14ac:dyDescent="0.25">
      <c r="A6" s="89">
        <v>43829</v>
      </c>
      <c r="B6" s="118" t="s">
        <v>600</v>
      </c>
      <c r="C6" s="67">
        <f t="shared" si="0"/>
        <v>1</v>
      </c>
      <c r="D6" s="68" t="s">
        <v>602</v>
      </c>
      <c r="E6" s="101"/>
      <c r="F6" s="98">
        <v>4</v>
      </c>
      <c r="G6" s="104">
        <f>IF(ISNUMBER(G5),G5+Tabla4[[#This Row],[Ingresos]]-Tabla4[[#This Row],[Gasto ]],0+Tabla4[[#This Row],[Ingresos]]-Tabla4[[#This Row],[Gasto ]])</f>
        <v>13.810000000000002</v>
      </c>
    </row>
    <row r="7" spans="1:7" x14ac:dyDescent="0.25">
      <c r="A7" s="89">
        <v>43830</v>
      </c>
      <c r="B7" s="115" t="s">
        <v>605</v>
      </c>
      <c r="C7" s="70">
        <f t="shared" si="0"/>
        <v>1</v>
      </c>
      <c r="D7" s="68" t="s">
        <v>602</v>
      </c>
      <c r="E7" s="101">
        <v>1</v>
      </c>
      <c r="F7" s="98"/>
      <c r="G7" s="104">
        <f>IF(ISNUMBER(G6),G6+Tabla4[[#This Row],[Ingresos]]-Tabla4[[#This Row],[Gasto ]],0+Tabla4[[#This Row],[Ingresos]]-Tabla4[[#This Row],[Gasto ]])</f>
        <v>14.810000000000002</v>
      </c>
    </row>
    <row r="8" spans="1:7" x14ac:dyDescent="0.25">
      <c r="A8" s="89">
        <v>43830</v>
      </c>
      <c r="B8" s="119" t="s">
        <v>606</v>
      </c>
      <c r="C8" s="70">
        <f t="shared" si="0"/>
        <v>1</v>
      </c>
      <c r="D8" s="68" t="s">
        <v>602</v>
      </c>
      <c r="E8" s="101">
        <v>4</v>
      </c>
      <c r="F8" s="98"/>
      <c r="G8" s="104">
        <f>IF(ISNUMBER(G7),G7+Tabla4[[#This Row],[Ingresos]]-Tabla4[[#This Row],[Gasto ]],0+Tabla4[[#This Row],[Ingresos]]-Tabla4[[#This Row],[Gasto ]])</f>
        <v>18.810000000000002</v>
      </c>
    </row>
    <row r="9" spans="1:7" x14ac:dyDescent="0.25">
      <c r="A9" s="89">
        <v>43834</v>
      </c>
      <c r="B9" s="166" t="s">
        <v>719</v>
      </c>
      <c r="C9" s="70">
        <f t="shared" si="0"/>
        <v>1</v>
      </c>
      <c r="D9" s="69" t="s">
        <v>601</v>
      </c>
      <c r="E9" s="101">
        <v>10</v>
      </c>
      <c r="F9" s="98"/>
      <c r="G9" s="167">
        <f>IF(ISNUMBER(G8),G8+Tabla4[[#This Row],[Ingresos]]-Tabla4[[#This Row],[Gasto ]],0+Tabla4[[#This Row],[Ingresos]]-Tabla4[[#This Row],[Gasto ]])</f>
        <v>28.810000000000002</v>
      </c>
    </row>
    <row r="10" spans="1:7" x14ac:dyDescent="0.25">
      <c r="A10" s="89">
        <v>43834</v>
      </c>
      <c r="B10" s="166" t="s">
        <v>719</v>
      </c>
      <c r="C10" s="70">
        <f t="shared" si="0"/>
        <v>1</v>
      </c>
      <c r="D10" s="68" t="s">
        <v>602</v>
      </c>
      <c r="E10" s="101">
        <v>10</v>
      </c>
      <c r="F10" s="98"/>
      <c r="G10" s="167">
        <f>IF(ISNUMBER(G9),G9+Tabla4[[#This Row],[Ingresos]]-Tabla4[[#This Row],[Gasto ]],0+Tabla4[[#This Row],[Ingresos]]-Tabla4[[#This Row],[Gasto ]])</f>
        <v>38.81</v>
      </c>
    </row>
    <row r="11" spans="1:7" x14ac:dyDescent="0.25">
      <c r="A11" s="63">
        <v>43835</v>
      </c>
      <c r="B11" s="108" t="s">
        <v>604</v>
      </c>
      <c r="C11" s="109">
        <f t="shared" si="0"/>
        <v>1</v>
      </c>
      <c r="D11" s="110" t="s">
        <v>601</v>
      </c>
      <c r="E11" s="111">
        <f>9.81-6+10</f>
        <v>13.81</v>
      </c>
      <c r="F11" s="112">
        <f>E11</f>
        <v>13.81</v>
      </c>
      <c r="G11" s="103">
        <f>IF(ISNUMBER(G10),G10+Tabla4[[#This Row],[Ingresos]]-Tabla4[[#This Row],[Gasto ]],0+Tabla4[[#This Row],[Ingresos]]-Tabla4[[#This Row],[Gasto ]])</f>
        <v>38.81</v>
      </c>
    </row>
    <row r="12" spans="1:7" x14ac:dyDescent="0.25">
      <c r="A12" s="63">
        <v>43835</v>
      </c>
      <c r="B12" s="108" t="s">
        <v>604</v>
      </c>
      <c r="C12" s="65">
        <f t="shared" si="0"/>
        <v>1</v>
      </c>
      <c r="D12" s="66" t="s">
        <v>602</v>
      </c>
      <c r="E12" s="100">
        <f>14+4+1-4+10</f>
        <v>25</v>
      </c>
      <c r="F12" s="97">
        <f>E12</f>
        <v>25</v>
      </c>
      <c r="G12" s="103">
        <f>IF(ISNUMBER(G11),G11+Tabla4[[#This Row],[Ingresos]]-Tabla4[[#This Row],[Gasto ]],0+Tabla4[[#This Row],[Ingresos]]-Tabla4[[#This Row],[Gasto ]])</f>
        <v>38.81</v>
      </c>
    </row>
    <row r="13" spans="1:7" x14ac:dyDescent="0.25">
      <c r="A13" s="89">
        <v>43836</v>
      </c>
      <c r="B13" s="118" t="s">
        <v>600</v>
      </c>
      <c r="C13" s="67">
        <f t="shared" si="0"/>
        <v>2</v>
      </c>
      <c r="D13" s="69" t="s">
        <v>601</v>
      </c>
      <c r="E13" s="101"/>
      <c r="F13" s="98">
        <v>1</v>
      </c>
      <c r="G13" s="104">
        <f>IF(ISNUMBER(G12),G12+Tabla4[[#This Row],[Ingresos]]-Tabla4[[#This Row],[Gasto ]],0+Tabla4[[#This Row],[Ingresos]]-Tabla4[[#This Row],[Gasto ]])</f>
        <v>37.81</v>
      </c>
    </row>
    <row r="14" spans="1:7" x14ac:dyDescent="0.25">
      <c r="A14" s="89">
        <v>43836</v>
      </c>
      <c r="B14" s="118" t="s">
        <v>600</v>
      </c>
      <c r="C14" s="67">
        <f t="shared" si="0"/>
        <v>2</v>
      </c>
      <c r="D14" s="68" t="s">
        <v>602</v>
      </c>
      <c r="E14" s="101"/>
      <c r="F14" s="98">
        <v>9</v>
      </c>
      <c r="G14" s="104">
        <f>IF(ISNUMBER(G13),G13+Tabla4[[#This Row],[Ingresos]]-Tabla4[[#This Row],[Gasto ]],0+Tabla4[[#This Row],[Ingresos]]-Tabla4[[#This Row],[Gasto ]])</f>
        <v>28.810000000000002</v>
      </c>
    </row>
    <row r="15" spans="1:7" x14ac:dyDescent="0.25">
      <c r="A15" s="89">
        <v>43837</v>
      </c>
      <c r="B15" s="115" t="s">
        <v>605</v>
      </c>
      <c r="C15" s="70">
        <f t="shared" si="0"/>
        <v>2</v>
      </c>
      <c r="D15" s="68" t="s">
        <v>602</v>
      </c>
      <c r="E15" s="101">
        <v>1</v>
      </c>
      <c r="F15" s="98"/>
      <c r="G15" s="104">
        <f>IF(ISNUMBER(G14),G14+Tabla4[[#This Row],[Ingresos]]-Tabla4[[#This Row],[Gasto ]],0+Tabla4[[#This Row],[Ingresos]]-Tabla4[[#This Row],[Gasto ]])</f>
        <v>29.810000000000002</v>
      </c>
    </row>
    <row r="16" spans="1:7" x14ac:dyDescent="0.25">
      <c r="A16" s="89">
        <v>43841</v>
      </c>
      <c r="B16" s="115" t="s">
        <v>605</v>
      </c>
      <c r="C16" s="70">
        <f t="shared" si="0"/>
        <v>2</v>
      </c>
      <c r="D16" s="68" t="s">
        <v>602</v>
      </c>
      <c r="E16" s="101">
        <v>1</v>
      </c>
      <c r="F16" s="98"/>
      <c r="G16" s="104">
        <f>IF(ISNUMBER(G15),G15+Tabla4[[#This Row],[Ingresos]]-Tabla4[[#This Row],[Gasto ]],0+Tabla4[[#This Row],[Ingresos]]-Tabla4[[#This Row],[Gasto ]])</f>
        <v>30.810000000000002</v>
      </c>
    </row>
    <row r="17" spans="1:7" x14ac:dyDescent="0.25">
      <c r="A17" s="63">
        <v>43842</v>
      </c>
      <c r="B17" s="108" t="s">
        <v>604</v>
      </c>
      <c r="C17" s="109">
        <f t="shared" si="0"/>
        <v>2</v>
      </c>
      <c r="D17" s="110" t="s">
        <v>601</v>
      </c>
      <c r="E17" s="111">
        <f>13.81-1</f>
        <v>12.81</v>
      </c>
      <c r="F17" s="112">
        <f>E17</f>
        <v>12.81</v>
      </c>
      <c r="G17" s="103">
        <f>IF(ISNUMBER(G16),G16+Tabla4[[#This Row],[Ingresos]]-Tabla4[[#This Row],[Gasto ]],0+Tabla4[[#This Row],[Ingresos]]-Tabla4[[#This Row],[Gasto ]])</f>
        <v>30.810000000000002</v>
      </c>
    </row>
    <row r="18" spans="1:7" x14ac:dyDescent="0.25">
      <c r="A18" s="63">
        <v>43842</v>
      </c>
      <c r="B18" s="108" t="s">
        <v>604</v>
      </c>
      <c r="C18" s="65">
        <f t="shared" si="0"/>
        <v>2</v>
      </c>
      <c r="D18" s="66" t="s">
        <v>602</v>
      </c>
      <c r="E18" s="100">
        <f>25-9+2</f>
        <v>18</v>
      </c>
      <c r="F18" s="97">
        <f>E18</f>
        <v>18</v>
      </c>
      <c r="G18" s="103">
        <f>IF(ISNUMBER(G17),G17+Tabla4[[#This Row],[Ingresos]]-Tabla4[[#This Row],[Gasto ]],0+Tabla4[[#This Row],[Ingresos]]-Tabla4[[#This Row],[Gasto ]])</f>
        <v>30.810000000000002</v>
      </c>
    </row>
    <row r="19" spans="1:7" x14ac:dyDescent="0.25">
      <c r="A19" s="89">
        <v>43843</v>
      </c>
      <c r="B19" s="118" t="s">
        <v>600</v>
      </c>
      <c r="C19" s="67">
        <f t="shared" si="0"/>
        <v>3</v>
      </c>
      <c r="D19" s="69" t="s">
        <v>601</v>
      </c>
      <c r="E19" s="101"/>
      <c r="F19" s="98">
        <v>6</v>
      </c>
      <c r="G19" s="104">
        <f>IF(ISNUMBER(G18),G18+Tabla4[[#This Row],[Ingresos]]-Tabla4[[#This Row],[Gasto ]],0+Tabla4[[#This Row],[Ingresos]]-Tabla4[[#This Row],[Gasto ]])</f>
        <v>24.810000000000002</v>
      </c>
    </row>
    <row r="20" spans="1:7" x14ac:dyDescent="0.25">
      <c r="A20" s="89">
        <v>43843</v>
      </c>
      <c r="B20" s="118" t="s">
        <v>600</v>
      </c>
      <c r="C20" s="67">
        <f t="shared" si="0"/>
        <v>3</v>
      </c>
      <c r="D20" s="68" t="s">
        <v>602</v>
      </c>
      <c r="E20" s="101"/>
      <c r="F20" s="98">
        <v>4</v>
      </c>
      <c r="G20" s="104">
        <f>IF(ISNUMBER(G19),G19+Tabla4[[#This Row],[Ingresos]]-Tabla4[[#This Row],[Gasto ]],0+Tabla4[[#This Row],[Ingresos]]-Tabla4[[#This Row],[Gasto ]])</f>
        <v>20.810000000000002</v>
      </c>
    </row>
    <row r="21" spans="1:7" x14ac:dyDescent="0.25">
      <c r="A21" s="89">
        <v>43846</v>
      </c>
      <c r="B21" s="119" t="s">
        <v>605</v>
      </c>
      <c r="C21" s="70">
        <f t="shared" si="0"/>
        <v>3</v>
      </c>
      <c r="D21" s="68" t="s">
        <v>602</v>
      </c>
      <c r="E21" s="101">
        <v>1</v>
      </c>
      <c r="F21" s="98"/>
      <c r="G21" s="104">
        <f>IF(ISNUMBER(G20),G20+Tabla4[[#This Row],[Ingresos]]-Tabla4[[#This Row],[Gasto ]],0+Tabla4[[#This Row],[Ingresos]]-Tabla4[[#This Row],[Gasto ]])</f>
        <v>21.810000000000002</v>
      </c>
    </row>
    <row r="22" spans="1:7" x14ac:dyDescent="0.25">
      <c r="A22" s="63">
        <v>43849</v>
      </c>
      <c r="B22" s="108" t="s">
        <v>604</v>
      </c>
      <c r="C22" s="109">
        <f t="shared" si="0"/>
        <v>3</v>
      </c>
      <c r="D22" s="110" t="s">
        <v>601</v>
      </c>
      <c r="E22" s="111">
        <f>12.81-6</f>
        <v>6.8100000000000005</v>
      </c>
      <c r="F22" s="112">
        <f>E22</f>
        <v>6.8100000000000005</v>
      </c>
      <c r="G22" s="103">
        <f>IF(ISNUMBER(G21),G21+Tabla4[[#This Row],[Ingresos]]-Tabla4[[#This Row],[Gasto ]],0+Tabla4[[#This Row],[Ingresos]]-Tabla4[[#This Row],[Gasto ]])</f>
        <v>21.810000000000002</v>
      </c>
    </row>
    <row r="23" spans="1:7" x14ac:dyDescent="0.25">
      <c r="A23" s="63">
        <v>43849</v>
      </c>
      <c r="B23" s="129" t="s">
        <v>604</v>
      </c>
      <c r="C23" s="65">
        <f t="shared" si="0"/>
        <v>3</v>
      </c>
      <c r="D23" s="66" t="s">
        <v>602</v>
      </c>
      <c r="E23" s="100">
        <f>18-4+1</f>
        <v>15</v>
      </c>
      <c r="F23" s="97">
        <f>E23</f>
        <v>15</v>
      </c>
      <c r="G23" s="103">
        <f>IF(ISNUMBER(G22),G22+Tabla4[[#This Row],[Ingresos]]-Tabla4[[#This Row],[Gasto ]],0+Tabla4[[#This Row],[Ingresos]]-Tabla4[[#This Row],[Gasto ]])</f>
        <v>21.810000000000002</v>
      </c>
    </row>
    <row r="24" spans="1:7" x14ac:dyDescent="0.25">
      <c r="A24" s="89">
        <v>43850</v>
      </c>
      <c r="B24" s="118" t="s">
        <v>600</v>
      </c>
      <c r="C24" s="67">
        <f t="shared" si="0"/>
        <v>4</v>
      </c>
      <c r="D24" s="69" t="s">
        <v>601</v>
      </c>
      <c r="E24" s="101"/>
      <c r="F24" s="98">
        <v>4</v>
      </c>
      <c r="G24" s="104">
        <f>IF(ISNUMBER(G23),G23+Tabla4[[#This Row],[Ingresos]]-Tabla4[[#This Row],[Gasto ]],0+Tabla4[[#This Row],[Ingresos]]-Tabla4[[#This Row],[Gasto ]])</f>
        <v>17.810000000000002</v>
      </c>
    </row>
    <row r="25" spans="1:7" x14ac:dyDescent="0.25">
      <c r="A25" s="89">
        <v>43850</v>
      </c>
      <c r="B25" s="118" t="s">
        <v>600</v>
      </c>
      <c r="C25" s="67">
        <f t="shared" si="0"/>
        <v>4</v>
      </c>
      <c r="D25" s="68" t="s">
        <v>602</v>
      </c>
      <c r="E25" s="101"/>
      <c r="F25" s="98">
        <v>6</v>
      </c>
      <c r="G25" s="104">
        <f>IF(ISNUMBER(G24),G24+Tabla4[[#This Row],[Ingresos]]-Tabla4[[#This Row],[Gasto ]],0+Tabla4[[#This Row],[Ingresos]]-Tabla4[[#This Row],[Gasto ]])</f>
        <v>11.810000000000002</v>
      </c>
    </row>
    <row r="26" spans="1:7" x14ac:dyDescent="0.25">
      <c r="A26" s="89">
        <v>43855</v>
      </c>
      <c r="B26" s="166" t="s">
        <v>719</v>
      </c>
      <c r="C26" s="70">
        <f t="shared" si="0"/>
        <v>4</v>
      </c>
      <c r="D26" s="69" t="s">
        <v>601</v>
      </c>
      <c r="E26" s="101">
        <v>10</v>
      </c>
      <c r="F26" s="98"/>
      <c r="G26" s="167">
        <f>IF(ISNUMBER(G25),G25+Tabla4[[#This Row],[Ingresos]]-Tabla4[[#This Row],[Gasto ]],0+Tabla4[[#This Row],[Ingresos]]-Tabla4[[#This Row],[Gasto ]])</f>
        <v>21.810000000000002</v>
      </c>
    </row>
    <row r="27" spans="1:7" x14ac:dyDescent="0.25">
      <c r="A27" s="89">
        <v>43855</v>
      </c>
      <c r="B27" s="179" t="s">
        <v>719</v>
      </c>
      <c r="C27" s="70">
        <f t="shared" si="0"/>
        <v>4</v>
      </c>
      <c r="D27" s="68" t="s">
        <v>602</v>
      </c>
      <c r="E27" s="101">
        <v>10</v>
      </c>
      <c r="F27" s="98"/>
      <c r="G27" s="167">
        <f>IF(ISNUMBER(G26),G26+Tabla4[[#This Row],[Ingresos]]-Tabla4[[#This Row],[Gasto ]],0+Tabla4[[#This Row],[Ingresos]]-Tabla4[[#This Row],[Gasto ]])</f>
        <v>31.810000000000002</v>
      </c>
    </row>
    <row r="28" spans="1:7" x14ac:dyDescent="0.25">
      <c r="A28" s="63">
        <v>43856</v>
      </c>
      <c r="B28" s="108" t="s">
        <v>604</v>
      </c>
      <c r="C28" s="109">
        <f t="shared" si="0"/>
        <v>4</v>
      </c>
      <c r="D28" s="110" t="s">
        <v>601</v>
      </c>
      <c r="E28" s="111">
        <f>6.81-4+10</f>
        <v>12.809999999999999</v>
      </c>
      <c r="F28" s="112">
        <f>E28</f>
        <v>12.809999999999999</v>
      </c>
      <c r="G28" s="103">
        <f>IF(ISNUMBER(G27),G27+Tabla4[[#This Row],[Ingresos]]-Tabla4[[#This Row],[Gasto ]],0+Tabla4[[#This Row],[Ingresos]]-Tabla4[[#This Row],[Gasto ]])</f>
        <v>31.810000000000006</v>
      </c>
    </row>
    <row r="29" spans="1:7" x14ac:dyDescent="0.25">
      <c r="A29" s="63">
        <v>43856</v>
      </c>
      <c r="B29" s="108" t="s">
        <v>604</v>
      </c>
      <c r="C29" s="65">
        <f t="shared" si="0"/>
        <v>4</v>
      </c>
      <c r="D29" s="66" t="s">
        <v>602</v>
      </c>
      <c r="E29" s="100">
        <f>15-6+10</f>
        <v>19</v>
      </c>
      <c r="F29" s="97">
        <f>E29</f>
        <v>19</v>
      </c>
      <c r="G29" s="103">
        <f>IF(ISNUMBER(G28),G28+Tabla4[[#This Row],[Ingresos]]-Tabla4[[#This Row],[Gasto ]],0+Tabla4[[#This Row],[Ingresos]]-Tabla4[[#This Row],[Gasto ]])</f>
        <v>31.810000000000002</v>
      </c>
    </row>
    <row r="30" spans="1:7" x14ac:dyDescent="0.25">
      <c r="A30" s="89">
        <v>43857</v>
      </c>
      <c r="B30" s="118" t="s">
        <v>600</v>
      </c>
      <c r="C30" s="67">
        <f t="shared" si="0"/>
        <v>5</v>
      </c>
      <c r="D30" s="69" t="s">
        <v>601</v>
      </c>
      <c r="E30" s="101"/>
      <c r="F30" s="98">
        <v>6</v>
      </c>
      <c r="G30" s="104">
        <f>IF(ISNUMBER(G29),G29+Tabla4[[#This Row],[Ingresos]]-Tabla4[[#This Row],[Gasto ]],0+Tabla4[[#This Row],[Ingresos]]-Tabla4[[#This Row],[Gasto ]])</f>
        <v>25.810000000000002</v>
      </c>
    </row>
    <row r="31" spans="1:7" x14ac:dyDescent="0.25">
      <c r="A31" s="89">
        <v>43857</v>
      </c>
      <c r="B31" s="118" t="s">
        <v>600</v>
      </c>
      <c r="C31" s="67">
        <f t="shared" si="0"/>
        <v>5</v>
      </c>
      <c r="D31" s="68" t="s">
        <v>602</v>
      </c>
      <c r="E31" s="101"/>
      <c r="F31" s="98">
        <v>4</v>
      </c>
      <c r="G31" s="104">
        <f>IF(ISNUMBER(G30),G30+Tabla4[[#This Row],[Ingresos]]-Tabla4[[#This Row],[Gasto ]],0+Tabla4[[#This Row],[Ingresos]]-Tabla4[[#This Row],[Gasto ]])</f>
        <v>21.810000000000002</v>
      </c>
    </row>
    <row r="32" spans="1:7" x14ac:dyDescent="0.25">
      <c r="A32" s="89">
        <v>43860</v>
      </c>
      <c r="B32" s="119" t="s">
        <v>606</v>
      </c>
      <c r="C32" s="70">
        <f t="shared" si="0"/>
        <v>5</v>
      </c>
      <c r="D32" s="68" t="s">
        <v>602</v>
      </c>
      <c r="E32" s="101">
        <v>4</v>
      </c>
      <c r="F32" s="98"/>
      <c r="G32" s="104">
        <f>IF(ISNUMBER(G31),G31+Tabla4[[#This Row],[Ingresos]]-Tabla4[[#This Row],[Gasto ]],0+Tabla4[[#This Row],[Ingresos]]-Tabla4[[#This Row],[Gasto ]])</f>
        <v>25.810000000000002</v>
      </c>
    </row>
    <row r="33" spans="1:7" x14ac:dyDescent="0.25">
      <c r="A33" s="63">
        <v>43863</v>
      </c>
      <c r="B33" s="108" t="s">
        <v>604</v>
      </c>
      <c r="C33" s="109">
        <f t="shared" si="0"/>
        <v>5</v>
      </c>
      <c r="D33" s="110" t="s">
        <v>601</v>
      </c>
      <c r="E33" s="111">
        <f>12.81-6</f>
        <v>6.8100000000000005</v>
      </c>
      <c r="F33" s="112">
        <f>E33</f>
        <v>6.8100000000000005</v>
      </c>
      <c r="G33" s="103">
        <f>IF(ISNUMBER(G32),G32+Tabla4[[#This Row],[Ingresos]]-Tabla4[[#This Row],[Gasto ]],0+Tabla4[[#This Row],[Ingresos]]-Tabla4[[#This Row],[Gasto ]])</f>
        <v>25.810000000000002</v>
      </c>
    </row>
    <row r="34" spans="1:7" x14ac:dyDescent="0.25">
      <c r="A34" s="63">
        <v>43863</v>
      </c>
      <c r="B34" s="108" t="s">
        <v>604</v>
      </c>
      <c r="C34" s="65">
        <f t="shared" si="0"/>
        <v>5</v>
      </c>
      <c r="D34" s="66" t="s">
        <v>602</v>
      </c>
      <c r="E34" s="100">
        <f>19-4+4</f>
        <v>19</v>
      </c>
      <c r="F34" s="97">
        <f>E34</f>
        <v>19</v>
      </c>
      <c r="G34" s="103">
        <f>IF(ISNUMBER(G33),G33+Tabla4[[#This Row],[Ingresos]]-Tabla4[[#This Row],[Gasto ]],0+Tabla4[[#This Row],[Ingresos]]-Tabla4[[#This Row],[Gasto ]])</f>
        <v>25.810000000000002</v>
      </c>
    </row>
    <row r="35" spans="1:7" x14ac:dyDescent="0.25">
      <c r="A35" s="89">
        <v>43864</v>
      </c>
      <c r="B35" s="118" t="s">
        <v>600</v>
      </c>
      <c r="C35" s="67">
        <f t="shared" ref="C35:C66" si="1">WEEKNUM(A35,21)</f>
        <v>6</v>
      </c>
      <c r="D35" s="69" t="s">
        <v>601</v>
      </c>
      <c r="E35" s="101"/>
      <c r="F35" s="98">
        <v>4</v>
      </c>
      <c r="G35" s="104">
        <f>IF(ISNUMBER(G34),G34+Tabla4[[#This Row],[Ingresos]]-Tabla4[[#This Row],[Gasto ]],0+Tabla4[[#This Row],[Ingresos]]-Tabla4[[#This Row],[Gasto ]])</f>
        <v>21.810000000000002</v>
      </c>
    </row>
    <row r="36" spans="1:7" x14ac:dyDescent="0.25">
      <c r="A36" s="89">
        <v>43864</v>
      </c>
      <c r="B36" s="118" t="s">
        <v>600</v>
      </c>
      <c r="C36" s="67">
        <f t="shared" si="1"/>
        <v>6</v>
      </c>
      <c r="D36" s="68" t="s">
        <v>602</v>
      </c>
      <c r="E36" s="101"/>
      <c r="F36" s="98">
        <v>6</v>
      </c>
      <c r="G36" s="104">
        <f>IF(ISNUMBER(G35),G35+Tabla4[[#This Row],[Ingresos]]-Tabla4[[#This Row],[Gasto ]],0+Tabla4[[#This Row],[Ingresos]]-Tabla4[[#This Row],[Gasto ]])</f>
        <v>15.810000000000002</v>
      </c>
    </row>
    <row r="37" spans="1:7" x14ac:dyDescent="0.25">
      <c r="A37" s="89">
        <v>43869</v>
      </c>
      <c r="B37" s="119" t="s">
        <v>606</v>
      </c>
      <c r="C37" s="70">
        <f t="shared" si="1"/>
        <v>6</v>
      </c>
      <c r="D37" s="68" t="s">
        <v>602</v>
      </c>
      <c r="E37" s="101">
        <v>4</v>
      </c>
      <c r="F37" s="98"/>
      <c r="G37" s="104">
        <f>IF(ISNUMBER(G36),G36+Tabla4[[#This Row],[Ingresos]]-Tabla4[[#This Row],[Gasto ]],0+Tabla4[[#This Row],[Ingresos]]-Tabla4[[#This Row],[Gasto ]])</f>
        <v>19.810000000000002</v>
      </c>
    </row>
    <row r="38" spans="1:7" x14ac:dyDescent="0.25">
      <c r="A38" s="89">
        <v>43869</v>
      </c>
      <c r="B38" s="166" t="s">
        <v>719</v>
      </c>
      <c r="C38" s="70">
        <f t="shared" si="1"/>
        <v>6</v>
      </c>
      <c r="D38" s="69" t="s">
        <v>601</v>
      </c>
      <c r="E38" s="101">
        <v>10</v>
      </c>
      <c r="F38" s="98"/>
      <c r="G38" s="167">
        <f>IF(ISNUMBER(G37),G37+Tabla4[[#This Row],[Ingresos]]-Tabla4[[#This Row],[Gasto ]],0+Tabla4[[#This Row],[Ingresos]]-Tabla4[[#This Row],[Gasto ]])</f>
        <v>29.810000000000002</v>
      </c>
    </row>
    <row r="39" spans="1:7" x14ac:dyDescent="0.25">
      <c r="A39" s="89">
        <v>43869</v>
      </c>
      <c r="B39" s="183" t="s">
        <v>719</v>
      </c>
      <c r="C39" s="70">
        <f t="shared" si="1"/>
        <v>6</v>
      </c>
      <c r="D39" s="68" t="s">
        <v>602</v>
      </c>
      <c r="E39" s="101">
        <v>10</v>
      </c>
      <c r="F39" s="98"/>
      <c r="G39" s="167">
        <f>IF(ISNUMBER(G38),G38+Tabla4[[#This Row],[Ingresos]]-Tabla4[[#This Row],[Gasto ]],0+Tabla4[[#This Row],[Ingresos]]-Tabla4[[#This Row],[Gasto ]])</f>
        <v>39.81</v>
      </c>
    </row>
    <row r="40" spans="1:7" x14ac:dyDescent="0.25">
      <c r="A40" s="89">
        <v>43869</v>
      </c>
      <c r="B40" s="183" t="s">
        <v>731</v>
      </c>
      <c r="C40" s="70">
        <f t="shared" si="1"/>
        <v>6</v>
      </c>
      <c r="D40" s="69" t="s">
        <v>601</v>
      </c>
      <c r="E40" s="101">
        <v>5</v>
      </c>
      <c r="F40" s="98"/>
      <c r="G40" s="167">
        <f>IF(ISNUMBER(G39),G39+Tabla4[[#This Row],[Ingresos]]-Tabla4[[#This Row],[Gasto ]],0+Tabla4[[#This Row],[Ingresos]]-Tabla4[[#This Row],[Gasto ]])</f>
        <v>44.81</v>
      </c>
    </row>
    <row r="41" spans="1:7" x14ac:dyDescent="0.25">
      <c r="A41" s="89">
        <v>43869</v>
      </c>
      <c r="B41" s="179" t="s">
        <v>731</v>
      </c>
      <c r="C41" s="70">
        <f t="shared" si="1"/>
        <v>6</v>
      </c>
      <c r="D41" s="68" t="s">
        <v>602</v>
      </c>
      <c r="E41" s="101"/>
      <c r="F41" s="98">
        <v>5</v>
      </c>
      <c r="G41" s="167">
        <f>IF(ISNUMBER(G40),G40+Tabla4[[#This Row],[Ingresos]]-Tabla4[[#This Row],[Gasto ]],0+Tabla4[[#This Row],[Ingresos]]-Tabla4[[#This Row],[Gasto ]])</f>
        <v>39.81</v>
      </c>
    </row>
    <row r="42" spans="1:7" x14ac:dyDescent="0.25">
      <c r="A42" s="63">
        <v>43870</v>
      </c>
      <c r="B42" s="129" t="s">
        <v>604</v>
      </c>
      <c r="C42" s="109">
        <f t="shared" si="1"/>
        <v>6</v>
      </c>
      <c r="D42" s="110" t="s">
        <v>601</v>
      </c>
      <c r="E42" s="111">
        <f>6.81-4+10+5</f>
        <v>17.809999999999999</v>
      </c>
      <c r="F42" s="112">
        <f>E42</f>
        <v>17.809999999999999</v>
      </c>
      <c r="G42" s="103">
        <f>IF(ISNUMBER(G41),G41+Tabla4[[#This Row],[Ingresos]]-Tabla4[[#This Row],[Gasto ]],0+Tabla4[[#This Row],[Ingresos]]-Tabla4[[#This Row],[Gasto ]])</f>
        <v>39.81</v>
      </c>
    </row>
    <row r="43" spans="1:7" x14ac:dyDescent="0.25">
      <c r="A43" s="63">
        <v>43870</v>
      </c>
      <c r="B43" s="129" t="s">
        <v>604</v>
      </c>
      <c r="C43" s="65">
        <f t="shared" si="1"/>
        <v>6</v>
      </c>
      <c r="D43" s="66" t="s">
        <v>602</v>
      </c>
      <c r="E43" s="100">
        <f>19-6+4+10-5</f>
        <v>22</v>
      </c>
      <c r="F43" s="97">
        <f>E43</f>
        <v>22</v>
      </c>
      <c r="G43" s="103">
        <f>IF(ISNUMBER(G42),G42+Tabla4[[#This Row],[Ingresos]]-Tabla4[[#This Row],[Gasto ]],0+Tabla4[[#This Row],[Ingresos]]-Tabla4[[#This Row],[Gasto ]])</f>
        <v>39.81</v>
      </c>
    </row>
    <row r="44" spans="1:7" x14ac:dyDescent="0.25">
      <c r="A44" s="89">
        <v>43871</v>
      </c>
      <c r="B44" s="184" t="s">
        <v>600</v>
      </c>
      <c r="C44" s="67">
        <f t="shared" si="1"/>
        <v>7</v>
      </c>
      <c r="D44" s="69" t="s">
        <v>601</v>
      </c>
      <c r="E44" s="101"/>
      <c r="F44" s="98">
        <v>6</v>
      </c>
      <c r="G44" s="104">
        <f>IF(ISNUMBER(G43),G43+Tabla4[[#This Row],[Ingresos]]-Tabla4[[#This Row],[Gasto ]],0+Tabla4[[#This Row],[Ingresos]]-Tabla4[[#This Row],[Gasto ]])</f>
        <v>33.81</v>
      </c>
    </row>
    <row r="45" spans="1:7" x14ac:dyDescent="0.25">
      <c r="A45" s="89">
        <v>43871</v>
      </c>
      <c r="B45" s="184" t="s">
        <v>600</v>
      </c>
      <c r="C45" s="67">
        <f t="shared" si="1"/>
        <v>7</v>
      </c>
      <c r="D45" s="68" t="s">
        <v>602</v>
      </c>
      <c r="E45" s="101"/>
      <c r="F45" s="98">
        <v>4</v>
      </c>
      <c r="G45" s="104">
        <f>IF(ISNUMBER(G44),G44+Tabla4[[#This Row],[Ingresos]]-Tabla4[[#This Row],[Gasto ]],0+Tabla4[[#This Row],[Ingresos]]-Tabla4[[#This Row],[Gasto ]])</f>
        <v>29.810000000000002</v>
      </c>
    </row>
    <row r="46" spans="1:7" x14ac:dyDescent="0.25">
      <c r="A46" s="89">
        <v>43874</v>
      </c>
      <c r="B46" s="119" t="s">
        <v>733</v>
      </c>
      <c r="C46" s="70">
        <f t="shared" si="1"/>
        <v>7</v>
      </c>
      <c r="D46" s="68" t="s">
        <v>602</v>
      </c>
      <c r="E46" s="101">
        <v>1</v>
      </c>
      <c r="F46" s="98"/>
      <c r="G46" s="104">
        <f>IF(ISNUMBER(G45),G45+Tabla4[[#This Row],[Ingresos]]-Tabla4[[#This Row],[Gasto ]],0+Tabla4[[#This Row],[Ingresos]]-Tabla4[[#This Row],[Gasto ]])</f>
        <v>30.810000000000002</v>
      </c>
    </row>
    <row r="47" spans="1:7" x14ac:dyDescent="0.25">
      <c r="A47" s="89">
        <v>43876</v>
      </c>
      <c r="B47" s="115" t="s">
        <v>733</v>
      </c>
      <c r="C47" s="70">
        <f t="shared" si="1"/>
        <v>7</v>
      </c>
      <c r="D47" s="69" t="s">
        <v>601</v>
      </c>
      <c r="E47" s="101">
        <v>1</v>
      </c>
      <c r="F47" s="98"/>
      <c r="G47" s="104">
        <f>IF(ISNUMBER(G46),G46+Tabla4[[#This Row],[Ingresos]]-Tabla4[[#This Row],[Gasto ]],0+Tabla4[[#This Row],[Ingresos]]-Tabla4[[#This Row],[Gasto ]])</f>
        <v>31.810000000000002</v>
      </c>
    </row>
    <row r="48" spans="1:7" x14ac:dyDescent="0.25">
      <c r="A48" s="89">
        <v>43876</v>
      </c>
      <c r="B48" s="115" t="s">
        <v>605</v>
      </c>
      <c r="C48" s="70">
        <f t="shared" si="1"/>
        <v>7</v>
      </c>
      <c r="D48" s="69" t="s">
        <v>601</v>
      </c>
      <c r="E48" s="101">
        <v>1</v>
      </c>
      <c r="F48" s="98"/>
      <c r="G48" s="104">
        <f>IF(ISNUMBER(G47),G47+Tabla4[[#This Row],[Ingresos]]-Tabla4[[#This Row],[Gasto ]],0+Tabla4[[#This Row],[Ingresos]]-Tabla4[[#This Row],[Gasto ]])</f>
        <v>32.81</v>
      </c>
    </row>
    <row r="49" spans="1:7" x14ac:dyDescent="0.25">
      <c r="A49" s="63">
        <v>43877</v>
      </c>
      <c r="B49" s="108" t="s">
        <v>604</v>
      </c>
      <c r="C49" s="109">
        <f t="shared" si="1"/>
        <v>7</v>
      </c>
      <c r="D49" s="110" t="s">
        <v>601</v>
      </c>
      <c r="E49" s="111">
        <f>17.81-6+2</f>
        <v>13.809999999999999</v>
      </c>
      <c r="F49" s="112">
        <f>E49</f>
        <v>13.809999999999999</v>
      </c>
      <c r="G49" s="103">
        <f>IF(ISNUMBER(G48),G48+Tabla4[[#This Row],[Ingresos]]-Tabla4[[#This Row],[Gasto ]],0+Tabla4[[#This Row],[Ingresos]]-Tabla4[[#This Row],[Gasto ]])</f>
        <v>32.81</v>
      </c>
    </row>
    <row r="50" spans="1:7" x14ac:dyDescent="0.25">
      <c r="A50" s="63">
        <v>43877</v>
      </c>
      <c r="B50" s="108" t="s">
        <v>604</v>
      </c>
      <c r="C50" s="65">
        <f t="shared" si="1"/>
        <v>7</v>
      </c>
      <c r="D50" s="66" t="s">
        <v>602</v>
      </c>
      <c r="E50" s="100">
        <f>22-4+1</f>
        <v>19</v>
      </c>
      <c r="F50" s="97">
        <f>E50</f>
        <v>19</v>
      </c>
      <c r="G50" s="103">
        <f>IF(ISNUMBER(G49),G49+Tabla4[[#This Row],[Ingresos]]-Tabla4[[#This Row],[Gasto ]],0+Tabla4[[#This Row],[Ingresos]]-Tabla4[[#This Row],[Gasto ]])</f>
        <v>32.81</v>
      </c>
    </row>
    <row r="51" spans="1:7" x14ac:dyDescent="0.25">
      <c r="A51" s="89">
        <v>43878</v>
      </c>
      <c r="B51" s="118" t="s">
        <v>600</v>
      </c>
      <c r="C51" s="67">
        <f t="shared" si="1"/>
        <v>8</v>
      </c>
      <c r="D51" s="69" t="s">
        <v>601</v>
      </c>
      <c r="E51" s="101"/>
      <c r="F51" s="98">
        <v>4</v>
      </c>
      <c r="G51" s="104">
        <f>IF(ISNUMBER(G50),G50+Tabla4[[#This Row],[Ingresos]]-Tabla4[[#This Row],[Gasto ]],0+Tabla4[[#This Row],[Ingresos]]-Tabla4[[#This Row],[Gasto ]])</f>
        <v>28.810000000000002</v>
      </c>
    </row>
    <row r="52" spans="1:7" x14ac:dyDescent="0.25">
      <c r="A52" s="89">
        <v>43878</v>
      </c>
      <c r="B52" s="118" t="s">
        <v>600</v>
      </c>
      <c r="C52" s="67">
        <f t="shared" si="1"/>
        <v>8</v>
      </c>
      <c r="D52" s="68" t="s">
        <v>602</v>
      </c>
      <c r="E52" s="101"/>
      <c r="F52" s="98">
        <v>6</v>
      </c>
      <c r="G52" s="104">
        <f>IF(ISNUMBER(G51),G51+Tabla4[[#This Row],[Ingresos]]-Tabla4[[#This Row],[Gasto ]],0+Tabla4[[#This Row],[Ingresos]]-Tabla4[[#This Row],[Gasto ]])</f>
        <v>22.810000000000002</v>
      </c>
    </row>
    <row r="53" spans="1:7" x14ac:dyDescent="0.25">
      <c r="A53" s="89">
        <v>43881</v>
      </c>
      <c r="B53" s="119" t="s">
        <v>733</v>
      </c>
      <c r="C53" s="70">
        <f t="shared" si="1"/>
        <v>8</v>
      </c>
      <c r="D53" s="69" t="s">
        <v>601</v>
      </c>
      <c r="E53" s="101">
        <v>1</v>
      </c>
      <c r="F53" s="98"/>
      <c r="G53" s="104">
        <f>IF(ISNUMBER(G52),G52+Tabla4[[#This Row],[Ingresos]]-Tabla4[[#This Row],[Gasto ]],0+Tabla4[[#This Row],[Ingresos]]-Tabla4[[#This Row],[Gasto ]])</f>
        <v>23.810000000000002</v>
      </c>
    </row>
    <row r="54" spans="1:7" x14ac:dyDescent="0.25">
      <c r="A54" s="89">
        <v>43881</v>
      </c>
      <c r="B54" s="119" t="s">
        <v>605</v>
      </c>
      <c r="C54" s="70">
        <f t="shared" si="1"/>
        <v>8</v>
      </c>
      <c r="D54" s="69" t="s">
        <v>601</v>
      </c>
      <c r="E54" s="101">
        <v>1</v>
      </c>
      <c r="F54" s="98"/>
      <c r="G54" s="104">
        <f>IF(ISNUMBER(G53),G53+Tabla4[[#This Row],[Ingresos]]-Tabla4[[#This Row],[Gasto ]],0+Tabla4[[#This Row],[Ingresos]]-Tabla4[[#This Row],[Gasto ]])</f>
        <v>24.810000000000002</v>
      </c>
    </row>
    <row r="55" spans="1:7" x14ac:dyDescent="0.25">
      <c r="A55" s="63">
        <v>43884</v>
      </c>
      <c r="B55" s="108" t="s">
        <v>604</v>
      </c>
      <c r="C55" s="109">
        <f t="shared" si="1"/>
        <v>8</v>
      </c>
      <c r="D55" s="110" t="s">
        <v>601</v>
      </c>
      <c r="E55" s="111">
        <f>13.81-4+2</f>
        <v>11.81</v>
      </c>
      <c r="F55" s="112">
        <f>E55</f>
        <v>11.81</v>
      </c>
      <c r="G55" s="103">
        <f>IF(ISNUMBER(G54),G54+Tabla4[[#This Row],[Ingresos]]-Tabla4[[#This Row],[Gasto ]],0+Tabla4[[#This Row],[Ingresos]]-Tabla4[[#This Row],[Gasto ]])</f>
        <v>24.810000000000002</v>
      </c>
    </row>
    <row r="56" spans="1:7" x14ac:dyDescent="0.25">
      <c r="A56" s="63">
        <v>43884</v>
      </c>
      <c r="B56" s="108" t="s">
        <v>604</v>
      </c>
      <c r="C56" s="65">
        <f t="shared" si="1"/>
        <v>8</v>
      </c>
      <c r="D56" s="66" t="s">
        <v>602</v>
      </c>
      <c r="E56" s="100">
        <f>19-6</f>
        <v>13</v>
      </c>
      <c r="F56" s="97">
        <f>E56</f>
        <v>13</v>
      </c>
      <c r="G56" s="103">
        <f>IF(ISNUMBER(G55),G55+Tabla4[[#This Row],[Ingresos]]-Tabla4[[#This Row],[Gasto ]],0+Tabla4[[#This Row],[Ingresos]]-Tabla4[[#This Row],[Gasto ]])</f>
        <v>24.810000000000002</v>
      </c>
    </row>
    <row r="57" spans="1:7" x14ac:dyDescent="0.25">
      <c r="A57" s="89">
        <v>43885</v>
      </c>
      <c r="B57" s="118" t="s">
        <v>600</v>
      </c>
      <c r="C57" s="67">
        <f t="shared" si="1"/>
        <v>9</v>
      </c>
      <c r="D57" s="69" t="s">
        <v>601</v>
      </c>
      <c r="E57" s="101"/>
      <c r="F57" s="98">
        <v>6</v>
      </c>
      <c r="G57" s="104">
        <f>IF(ISNUMBER(G56),G56+Tabla4[[#This Row],[Ingresos]]-Tabla4[[#This Row],[Gasto ]],0+Tabla4[[#This Row],[Ingresos]]-Tabla4[[#This Row],[Gasto ]])</f>
        <v>18.810000000000002</v>
      </c>
    </row>
    <row r="58" spans="1:7" x14ac:dyDescent="0.25">
      <c r="A58" s="89">
        <v>43885</v>
      </c>
      <c r="B58" s="118" t="s">
        <v>600</v>
      </c>
      <c r="C58" s="67">
        <f t="shared" si="1"/>
        <v>9</v>
      </c>
      <c r="D58" s="68" t="s">
        <v>602</v>
      </c>
      <c r="E58" s="101"/>
      <c r="F58" s="98">
        <v>4</v>
      </c>
      <c r="G58" s="104">
        <f>IF(ISNUMBER(G57),G57+Tabla4[[#This Row],[Ingresos]]-Tabla4[[#This Row],[Gasto ]],0+Tabla4[[#This Row],[Ingresos]]-Tabla4[[#This Row],[Gasto ]])</f>
        <v>14.810000000000002</v>
      </c>
    </row>
    <row r="59" spans="1:7" x14ac:dyDescent="0.25">
      <c r="A59" s="89">
        <v>43888</v>
      </c>
      <c r="B59" s="119" t="s">
        <v>733</v>
      </c>
      <c r="C59" s="70">
        <f t="shared" si="1"/>
        <v>9</v>
      </c>
      <c r="D59" s="68" t="s">
        <v>602</v>
      </c>
      <c r="E59" s="101">
        <v>1</v>
      </c>
      <c r="F59" s="98"/>
      <c r="G59" s="104">
        <f>IF(ISNUMBER(G58),G58+Tabla4[[#This Row],[Ingresos]]-Tabla4[[#This Row],[Gasto ]],0+Tabla4[[#This Row],[Ingresos]]-Tabla4[[#This Row],[Gasto ]])</f>
        <v>15.810000000000002</v>
      </c>
    </row>
    <row r="60" spans="1:7" x14ac:dyDescent="0.25">
      <c r="A60" s="89">
        <v>43890</v>
      </c>
      <c r="B60" s="119" t="s">
        <v>733</v>
      </c>
      <c r="C60" s="70">
        <f t="shared" si="1"/>
        <v>9</v>
      </c>
      <c r="D60" s="69" t="s">
        <v>601</v>
      </c>
      <c r="E60" s="101">
        <v>1</v>
      </c>
      <c r="F60" s="98"/>
      <c r="G60" s="104">
        <f>IF(ISNUMBER(G59),G59+Tabla4[[#This Row],[Ingresos]]-Tabla4[[#This Row],[Gasto ]],0+Tabla4[[#This Row],[Ingresos]]-Tabla4[[#This Row],[Gasto ]])</f>
        <v>16.810000000000002</v>
      </c>
    </row>
    <row r="61" spans="1:7" x14ac:dyDescent="0.25">
      <c r="A61" s="63">
        <v>43891</v>
      </c>
      <c r="B61" s="108" t="s">
        <v>604</v>
      </c>
      <c r="C61" s="109">
        <f t="shared" si="1"/>
        <v>9</v>
      </c>
      <c r="D61" s="110" t="s">
        <v>601</v>
      </c>
      <c r="E61" s="111">
        <f>11.81-6+1</f>
        <v>6.8100000000000005</v>
      </c>
      <c r="F61" s="112">
        <f>E61</f>
        <v>6.8100000000000005</v>
      </c>
      <c r="G61" s="103">
        <f>IF(ISNUMBER(G60),G60+Tabla4[[#This Row],[Ingresos]]-Tabla4[[#This Row],[Gasto ]],0+Tabla4[[#This Row],[Ingresos]]-Tabla4[[#This Row],[Gasto ]])</f>
        <v>16.810000000000002</v>
      </c>
    </row>
    <row r="62" spans="1:7" x14ac:dyDescent="0.25">
      <c r="A62" s="63">
        <v>43891</v>
      </c>
      <c r="B62" s="108" t="s">
        <v>604</v>
      </c>
      <c r="C62" s="65">
        <f t="shared" si="1"/>
        <v>9</v>
      </c>
      <c r="D62" s="66" t="s">
        <v>602</v>
      </c>
      <c r="E62" s="100">
        <f>13-4+1</f>
        <v>10</v>
      </c>
      <c r="F62" s="97">
        <f>E62</f>
        <v>10</v>
      </c>
      <c r="G62" s="103">
        <f>IF(ISNUMBER(G61),G61+Tabla4[[#This Row],[Ingresos]]-Tabla4[[#This Row],[Gasto ]],0+Tabla4[[#This Row],[Ingresos]]-Tabla4[[#This Row],[Gasto ]])</f>
        <v>16.810000000000002</v>
      </c>
    </row>
    <row r="63" spans="1:7" x14ac:dyDescent="0.25">
      <c r="A63" s="89">
        <v>43892</v>
      </c>
      <c r="B63" s="118" t="s">
        <v>600</v>
      </c>
      <c r="C63" s="67">
        <f t="shared" si="1"/>
        <v>10</v>
      </c>
      <c r="D63" s="69" t="s">
        <v>601</v>
      </c>
      <c r="E63" s="101"/>
      <c r="F63" s="98">
        <v>4</v>
      </c>
      <c r="G63" s="104">
        <f>IF(ISNUMBER(G62),G62+Tabla4[[#This Row],[Ingresos]]-Tabla4[[#This Row],[Gasto ]],0+Tabla4[[#This Row],[Ingresos]]-Tabla4[[#This Row],[Gasto ]])</f>
        <v>12.810000000000002</v>
      </c>
    </row>
    <row r="64" spans="1:7" x14ac:dyDescent="0.25">
      <c r="A64" s="89">
        <v>43892</v>
      </c>
      <c r="B64" s="118" t="s">
        <v>600</v>
      </c>
      <c r="C64" s="67">
        <f t="shared" si="1"/>
        <v>10</v>
      </c>
      <c r="D64" s="68" t="s">
        <v>602</v>
      </c>
      <c r="E64" s="101"/>
      <c r="F64" s="98">
        <v>6</v>
      </c>
      <c r="G64" s="104">
        <f>IF(ISNUMBER(G63),G63+Tabla4[[#This Row],[Ingresos]]-Tabla4[[#This Row],[Gasto ]],0+Tabla4[[#This Row],[Ingresos]]-Tabla4[[#This Row],[Gasto ]])</f>
        <v>6.8100000000000023</v>
      </c>
    </row>
    <row r="65" spans="1:7" x14ac:dyDescent="0.25">
      <c r="A65" s="89">
        <v>43894</v>
      </c>
      <c r="B65" s="119" t="s">
        <v>605</v>
      </c>
      <c r="C65" s="70">
        <f t="shared" si="1"/>
        <v>10</v>
      </c>
      <c r="D65" s="68" t="s">
        <v>602</v>
      </c>
      <c r="E65" s="101">
        <v>1</v>
      </c>
      <c r="F65" s="98"/>
      <c r="G65" s="104">
        <f>IF(ISNUMBER(G64),G64+Tabla4[[#This Row],[Ingresos]]-Tabla4[[#This Row],[Gasto ]],0+Tabla4[[#This Row],[Ingresos]]-Tabla4[[#This Row],[Gasto ]])</f>
        <v>7.8100000000000023</v>
      </c>
    </row>
    <row r="66" spans="1:7" x14ac:dyDescent="0.25">
      <c r="A66" s="89">
        <v>43897</v>
      </c>
      <c r="B66" s="166" t="s">
        <v>719</v>
      </c>
      <c r="C66" s="70">
        <f t="shared" si="1"/>
        <v>10</v>
      </c>
      <c r="D66" s="69" t="s">
        <v>601</v>
      </c>
      <c r="E66" s="101">
        <v>10</v>
      </c>
      <c r="F66" s="98"/>
      <c r="G66" s="167">
        <f>IF(ISNUMBER(G65),G65+Tabla4[[#This Row],[Ingresos]]-Tabla4[[#This Row],[Gasto ]],0+Tabla4[[#This Row],[Ingresos]]-Tabla4[[#This Row],[Gasto ]])</f>
        <v>17.810000000000002</v>
      </c>
    </row>
    <row r="67" spans="1:7" x14ac:dyDescent="0.25">
      <c r="A67" s="89">
        <v>43897</v>
      </c>
      <c r="B67" s="183" t="s">
        <v>719</v>
      </c>
      <c r="C67" s="70">
        <f t="shared" ref="C67:C78" si="2">WEEKNUM(A67,21)</f>
        <v>10</v>
      </c>
      <c r="D67" s="68" t="s">
        <v>602</v>
      </c>
      <c r="E67" s="101">
        <v>10</v>
      </c>
      <c r="F67" s="98"/>
      <c r="G67" s="167">
        <f>IF(ISNUMBER(G66),G66+Tabla4[[#This Row],[Ingresos]]-Tabla4[[#This Row],[Gasto ]],0+Tabla4[[#This Row],[Ingresos]]-Tabla4[[#This Row],[Gasto ]])</f>
        <v>27.810000000000002</v>
      </c>
    </row>
    <row r="68" spans="1:7" x14ac:dyDescent="0.25">
      <c r="A68" s="63">
        <v>43898</v>
      </c>
      <c r="B68" s="108" t="s">
        <v>604</v>
      </c>
      <c r="C68" s="109">
        <f t="shared" si="2"/>
        <v>10</v>
      </c>
      <c r="D68" s="110" t="s">
        <v>601</v>
      </c>
      <c r="E68" s="111">
        <f>6.81-4+10</f>
        <v>12.809999999999999</v>
      </c>
      <c r="F68" s="112">
        <f>E68</f>
        <v>12.809999999999999</v>
      </c>
      <c r="G68" s="103">
        <f>IF(ISNUMBER(G67),G67+Tabla4[[#This Row],[Ingresos]]-Tabla4[[#This Row],[Gasto ]],0+Tabla4[[#This Row],[Ingresos]]-Tabla4[[#This Row],[Gasto ]])</f>
        <v>27.810000000000006</v>
      </c>
    </row>
    <row r="69" spans="1:7" x14ac:dyDescent="0.25">
      <c r="A69" s="63">
        <v>43898</v>
      </c>
      <c r="B69" s="108" t="s">
        <v>604</v>
      </c>
      <c r="C69" s="65">
        <f t="shared" si="2"/>
        <v>10</v>
      </c>
      <c r="D69" s="66" t="s">
        <v>602</v>
      </c>
      <c r="E69" s="100">
        <f>10-6+1+10</f>
        <v>15</v>
      </c>
      <c r="F69" s="97">
        <f>E69</f>
        <v>15</v>
      </c>
      <c r="G69" s="103">
        <f>IF(ISNUMBER(G68),G68+Tabla4[[#This Row],[Ingresos]]-Tabla4[[#This Row],[Gasto ]],0+Tabla4[[#This Row],[Ingresos]]-Tabla4[[#This Row],[Gasto ]])</f>
        <v>27.810000000000002</v>
      </c>
    </row>
    <row r="70" spans="1:7" x14ac:dyDescent="0.25">
      <c r="A70" s="89">
        <v>43899</v>
      </c>
      <c r="B70" s="118" t="s">
        <v>600</v>
      </c>
      <c r="C70" s="67">
        <f t="shared" si="2"/>
        <v>11</v>
      </c>
      <c r="D70" s="69" t="s">
        <v>601</v>
      </c>
      <c r="E70" s="101"/>
      <c r="F70" s="98">
        <v>6</v>
      </c>
      <c r="G70" s="104">
        <f>IF(ISNUMBER(G69),G69+Tabla4[[#This Row],[Ingresos]]-Tabla4[[#This Row],[Gasto ]],0+Tabla4[[#This Row],[Ingresos]]-Tabla4[[#This Row],[Gasto ]])</f>
        <v>21.810000000000002</v>
      </c>
    </row>
    <row r="71" spans="1:7" x14ac:dyDescent="0.25">
      <c r="A71" s="89">
        <v>43899</v>
      </c>
      <c r="B71" s="118" t="s">
        <v>600</v>
      </c>
      <c r="C71" s="67">
        <f t="shared" si="2"/>
        <v>11</v>
      </c>
      <c r="D71" s="68" t="s">
        <v>602</v>
      </c>
      <c r="E71" s="101"/>
      <c r="F71" s="98">
        <v>4</v>
      </c>
      <c r="G71" s="104">
        <f>IF(ISNUMBER(G70),G70+Tabla4[[#This Row],[Ingresos]]-Tabla4[[#This Row],[Gasto ]],0+Tabla4[[#This Row],[Ingresos]]-Tabla4[[#This Row],[Gasto ]])</f>
        <v>17.810000000000002</v>
      </c>
    </row>
    <row r="72" spans="1:7" x14ac:dyDescent="0.25">
      <c r="A72" s="89">
        <v>43902</v>
      </c>
      <c r="B72" s="119" t="s">
        <v>733</v>
      </c>
      <c r="C72" s="70">
        <f t="shared" si="2"/>
        <v>11</v>
      </c>
      <c r="D72" s="68" t="s">
        <v>602</v>
      </c>
      <c r="E72" s="101">
        <v>1</v>
      </c>
      <c r="F72" s="98"/>
      <c r="G72" s="104">
        <f>IF(ISNUMBER(G71),G71+Tabla4[[#This Row],[Ingresos]]-Tabla4[[#This Row],[Gasto ]],0+Tabla4[[#This Row],[Ingresos]]-Tabla4[[#This Row],[Gasto ]])</f>
        <v>18.810000000000002</v>
      </c>
    </row>
    <row r="73" spans="1:7" x14ac:dyDescent="0.25">
      <c r="A73" s="63">
        <v>43905</v>
      </c>
      <c r="B73" s="108" t="s">
        <v>604</v>
      </c>
      <c r="C73" s="109">
        <f t="shared" si="2"/>
        <v>11</v>
      </c>
      <c r="D73" s="110" t="s">
        <v>601</v>
      </c>
      <c r="E73" s="111">
        <f>12.81-6</f>
        <v>6.8100000000000005</v>
      </c>
      <c r="F73" s="112">
        <f>E73</f>
        <v>6.8100000000000005</v>
      </c>
      <c r="G73" s="103">
        <f>IF(ISNUMBER(G72),G72+Tabla4[[#This Row],[Ingresos]]-Tabla4[[#This Row],[Gasto ]],0+Tabla4[[#This Row],[Ingresos]]-Tabla4[[#This Row],[Gasto ]])</f>
        <v>18.810000000000002</v>
      </c>
    </row>
    <row r="74" spans="1:7" x14ac:dyDescent="0.25">
      <c r="A74" s="63">
        <v>43905</v>
      </c>
      <c r="B74" s="108" t="s">
        <v>604</v>
      </c>
      <c r="C74" s="65">
        <f t="shared" si="2"/>
        <v>11</v>
      </c>
      <c r="D74" s="66" t="s">
        <v>602</v>
      </c>
      <c r="E74" s="100">
        <f>15-4+1</f>
        <v>12</v>
      </c>
      <c r="F74" s="97">
        <f>E74</f>
        <v>12</v>
      </c>
      <c r="G74" s="103">
        <f>IF(ISNUMBER(G73),G73+Tabla4[[#This Row],[Ingresos]]-Tabla4[[#This Row],[Gasto ]],0+Tabla4[[#This Row],[Ingresos]]-Tabla4[[#This Row],[Gasto ]])</f>
        <v>18.810000000000002</v>
      </c>
    </row>
    <row r="75" spans="1:7" x14ac:dyDescent="0.25">
      <c r="A75" s="89">
        <v>43906</v>
      </c>
      <c r="B75" s="166" t="s">
        <v>746</v>
      </c>
      <c r="C75" s="70">
        <f t="shared" si="2"/>
        <v>12</v>
      </c>
      <c r="D75" s="198" t="s">
        <v>602</v>
      </c>
      <c r="E75" s="101">
        <v>0</v>
      </c>
      <c r="F75" s="98">
        <v>0</v>
      </c>
      <c r="G75" s="167">
        <f>IF(ISNUMBER(G74),G74+Tabla4[[#This Row],[Ingresos]]-Tabla4[[#This Row],[Gasto ]],0+Tabla4[[#This Row],[Ingresos]]-Tabla4[[#This Row],[Gasto ]])</f>
        <v>18.810000000000002</v>
      </c>
    </row>
    <row r="76" spans="1:7" x14ac:dyDescent="0.25">
      <c r="A76" s="89">
        <v>43906</v>
      </c>
      <c r="B76" s="166" t="s">
        <v>746</v>
      </c>
      <c r="C76" s="70">
        <f t="shared" si="2"/>
        <v>12</v>
      </c>
      <c r="D76" s="69" t="s">
        <v>601</v>
      </c>
      <c r="E76" s="101">
        <v>0</v>
      </c>
      <c r="F76" s="98">
        <v>0</v>
      </c>
      <c r="G76" s="167">
        <f>IF(ISNUMBER(G75),G75+Tabla4[[#This Row],[Ingresos]]-Tabla4[[#This Row],[Gasto ]],0+Tabla4[[#This Row],[Ingresos]]-Tabla4[[#This Row],[Gasto ]])</f>
        <v>18.810000000000002</v>
      </c>
    </row>
    <row r="77" spans="1:7" x14ac:dyDescent="0.25">
      <c r="A77" s="63">
        <v>43912</v>
      </c>
      <c r="B77" s="108" t="s">
        <v>604</v>
      </c>
      <c r="C77" s="109">
        <f t="shared" si="2"/>
        <v>12</v>
      </c>
      <c r="D77" s="110" t="s">
        <v>601</v>
      </c>
      <c r="E77" s="111">
        <f>6.81</f>
        <v>6.81</v>
      </c>
      <c r="F77" s="112">
        <f>E77</f>
        <v>6.81</v>
      </c>
      <c r="G77" s="103">
        <f>IF(ISNUMBER(G76),G76+Tabla4[[#This Row],[Ingresos]]-Tabla4[[#This Row],[Gasto ]],0+Tabla4[[#This Row],[Ingresos]]-Tabla4[[#This Row],[Gasto ]])</f>
        <v>18.810000000000002</v>
      </c>
    </row>
    <row r="78" spans="1:7" x14ac:dyDescent="0.25">
      <c r="A78" s="63">
        <v>43912</v>
      </c>
      <c r="B78" s="108" t="s">
        <v>604</v>
      </c>
      <c r="C78" s="65">
        <f t="shared" si="2"/>
        <v>12</v>
      </c>
      <c r="D78" s="66" t="s">
        <v>602</v>
      </c>
      <c r="E78" s="100">
        <f>12</f>
        <v>12</v>
      </c>
      <c r="F78" s="97">
        <f>E78</f>
        <v>12</v>
      </c>
      <c r="G78" s="103">
        <f>IF(ISNUMBER(G77),G77+Tabla4[[#This Row],[Ingresos]]-Tabla4[[#This Row],[Gasto ]],0+Tabla4[[#This Row],[Ingresos]]-Tabla4[[#This Row],[Gasto ]])</f>
        <v>18.810000000000002</v>
      </c>
    </row>
    <row r="79" spans="1:7" x14ac:dyDescent="0.25">
      <c r="A79" s="89">
        <v>43913</v>
      </c>
      <c r="B79" s="166" t="s">
        <v>746</v>
      </c>
      <c r="C79" s="70">
        <f t="shared" ref="C79:C82" si="3">WEEKNUM(A79,21)</f>
        <v>13</v>
      </c>
      <c r="D79" s="198" t="s">
        <v>602</v>
      </c>
      <c r="E79" s="101">
        <v>0</v>
      </c>
      <c r="F79" s="98">
        <v>0</v>
      </c>
      <c r="G79" s="167">
        <f>IF(ISNUMBER(G78),G78+Tabla4[[#This Row],[Ingresos]]-Tabla4[[#This Row],[Gasto ]],0+Tabla4[[#This Row],[Ingresos]]-Tabla4[[#This Row],[Gasto ]])</f>
        <v>18.810000000000002</v>
      </c>
    </row>
    <row r="80" spans="1:7" x14ac:dyDescent="0.25">
      <c r="A80" s="89">
        <v>43913</v>
      </c>
      <c r="B80" s="166" t="s">
        <v>746</v>
      </c>
      <c r="C80" s="70">
        <f t="shared" si="3"/>
        <v>13</v>
      </c>
      <c r="D80" s="69" t="s">
        <v>601</v>
      </c>
      <c r="E80" s="101">
        <v>0</v>
      </c>
      <c r="F80" s="98">
        <v>0</v>
      </c>
      <c r="G80" s="167">
        <f>IF(ISNUMBER(G79),G79+Tabla4[[#This Row],[Ingresos]]-Tabla4[[#This Row],[Gasto ]],0+Tabla4[[#This Row],[Ingresos]]-Tabla4[[#This Row],[Gasto ]])</f>
        <v>18.810000000000002</v>
      </c>
    </row>
    <row r="81" spans="1:10" x14ac:dyDescent="0.25">
      <c r="A81" s="63">
        <v>43919</v>
      </c>
      <c r="B81" s="108" t="s">
        <v>604</v>
      </c>
      <c r="C81" s="109">
        <f t="shared" si="3"/>
        <v>13</v>
      </c>
      <c r="D81" s="110" t="s">
        <v>601</v>
      </c>
      <c r="E81" s="111">
        <f>6.81</f>
        <v>6.81</v>
      </c>
      <c r="F81" s="112">
        <f>E81</f>
        <v>6.81</v>
      </c>
      <c r="G81" s="103">
        <f>IF(ISNUMBER(G80),G80+Tabla4[[#This Row],[Ingresos]]-Tabla4[[#This Row],[Gasto ]],0+Tabla4[[#This Row],[Ingresos]]-Tabla4[[#This Row],[Gasto ]])</f>
        <v>18.810000000000002</v>
      </c>
    </row>
    <row r="82" spans="1:10" x14ac:dyDescent="0.25">
      <c r="A82" s="63">
        <v>43919</v>
      </c>
      <c r="B82" s="108" t="s">
        <v>604</v>
      </c>
      <c r="C82" s="65">
        <f t="shared" si="3"/>
        <v>13</v>
      </c>
      <c r="D82" s="66" t="s">
        <v>602</v>
      </c>
      <c r="E82" s="100">
        <f>12</f>
        <v>12</v>
      </c>
      <c r="F82" s="97">
        <f>E82</f>
        <v>12</v>
      </c>
      <c r="G82" s="103">
        <f>IF(ISNUMBER(G81),G81+Tabla4[[#This Row],[Ingresos]]-Tabla4[[#This Row],[Gasto ]],0+Tabla4[[#This Row],[Ingresos]]-Tabla4[[#This Row],[Gasto ]])</f>
        <v>18.810000000000002</v>
      </c>
    </row>
    <row r="83" spans="1:10" x14ac:dyDescent="0.25">
      <c r="A83" s="89">
        <v>43920</v>
      </c>
      <c r="B83" s="166" t="s">
        <v>746</v>
      </c>
      <c r="C83" s="70">
        <f t="shared" ref="C83:C86" si="4">WEEKNUM(A83,21)</f>
        <v>14</v>
      </c>
      <c r="D83" s="198" t="s">
        <v>602</v>
      </c>
      <c r="E83" s="101">
        <v>0</v>
      </c>
      <c r="F83" s="98">
        <v>0</v>
      </c>
      <c r="G83" s="167">
        <f>IF(ISNUMBER(G82),G82+Tabla4[[#This Row],[Ingresos]]-Tabla4[[#This Row],[Gasto ]],0+Tabla4[[#This Row],[Ingresos]]-Tabla4[[#This Row],[Gasto ]])</f>
        <v>18.810000000000002</v>
      </c>
    </row>
    <row r="84" spans="1:10" x14ac:dyDescent="0.25">
      <c r="A84" s="89">
        <v>43920</v>
      </c>
      <c r="B84" s="166" t="s">
        <v>746</v>
      </c>
      <c r="C84" s="70">
        <f t="shared" si="4"/>
        <v>14</v>
      </c>
      <c r="D84" s="69" t="s">
        <v>601</v>
      </c>
      <c r="E84" s="101">
        <v>0</v>
      </c>
      <c r="F84" s="98">
        <v>0</v>
      </c>
      <c r="G84" s="167">
        <f>IF(ISNUMBER(G83),G83+Tabla4[[#This Row],[Ingresos]]-Tabla4[[#This Row],[Gasto ]],0+Tabla4[[#This Row],[Ingresos]]-Tabla4[[#This Row],[Gasto ]])</f>
        <v>18.810000000000002</v>
      </c>
    </row>
    <row r="85" spans="1:10" x14ac:dyDescent="0.25">
      <c r="A85" s="63">
        <v>43926</v>
      </c>
      <c r="B85" s="108" t="s">
        <v>604</v>
      </c>
      <c r="C85" s="109">
        <f t="shared" si="4"/>
        <v>14</v>
      </c>
      <c r="D85" s="110" t="s">
        <v>601</v>
      </c>
      <c r="E85" s="111">
        <f>6.81</f>
        <v>6.81</v>
      </c>
      <c r="F85" s="112">
        <f>E85</f>
        <v>6.81</v>
      </c>
      <c r="G85" s="103">
        <f>IF(ISNUMBER(G84),G84+Tabla4[[#This Row],[Ingresos]]-Tabla4[[#This Row],[Gasto ]],0+Tabla4[[#This Row],[Ingresos]]-Tabla4[[#This Row],[Gasto ]])</f>
        <v>18.810000000000002</v>
      </c>
    </row>
    <row r="86" spans="1:10" x14ac:dyDescent="0.25">
      <c r="A86" s="63">
        <v>43926</v>
      </c>
      <c r="B86" s="108" t="s">
        <v>604</v>
      </c>
      <c r="C86" s="65">
        <f t="shared" si="4"/>
        <v>14</v>
      </c>
      <c r="D86" s="66" t="s">
        <v>602</v>
      </c>
      <c r="E86" s="100">
        <f>12</f>
        <v>12</v>
      </c>
      <c r="F86" s="97">
        <f>E86</f>
        <v>12</v>
      </c>
      <c r="G86" s="103">
        <f>IF(ISNUMBER(G85),G85+Tabla4[[#This Row],[Ingresos]]-Tabla4[[#This Row],[Gasto ]],0+Tabla4[[#This Row],[Ingresos]]-Tabla4[[#This Row],[Gasto ]])</f>
        <v>18.810000000000002</v>
      </c>
    </row>
    <row r="87" spans="1:10" x14ac:dyDescent="0.25">
      <c r="A87" s="89">
        <v>43927</v>
      </c>
      <c r="B87" s="166" t="s">
        <v>746</v>
      </c>
      <c r="C87" s="70">
        <f t="shared" ref="C87:C90" si="5">WEEKNUM(A87,21)</f>
        <v>15</v>
      </c>
      <c r="D87" s="198" t="s">
        <v>602</v>
      </c>
      <c r="E87" s="101">
        <v>0</v>
      </c>
      <c r="F87" s="98">
        <v>0</v>
      </c>
      <c r="G87" s="167">
        <f>IF(ISNUMBER(G86),G86+Tabla4[[#This Row],[Ingresos]]-Tabla4[[#This Row],[Gasto ]],0+Tabla4[[#This Row],[Ingresos]]-Tabla4[[#This Row],[Gasto ]])</f>
        <v>18.810000000000002</v>
      </c>
    </row>
    <row r="88" spans="1:10" x14ac:dyDescent="0.25">
      <c r="A88" s="89">
        <v>43927</v>
      </c>
      <c r="B88" s="166" t="s">
        <v>746</v>
      </c>
      <c r="C88" s="70">
        <f t="shared" si="5"/>
        <v>15</v>
      </c>
      <c r="D88" s="69" t="s">
        <v>601</v>
      </c>
      <c r="E88" s="101">
        <v>0</v>
      </c>
      <c r="F88" s="98">
        <v>0</v>
      </c>
      <c r="G88" s="167">
        <f>IF(ISNUMBER(G87),G87+Tabla4[[#This Row],[Ingresos]]-Tabla4[[#This Row],[Gasto ]],0+Tabla4[[#This Row],[Ingresos]]-Tabla4[[#This Row],[Gasto ]])</f>
        <v>18.810000000000002</v>
      </c>
      <c r="I88" s="32"/>
    </row>
    <row r="89" spans="1:10" x14ac:dyDescent="0.25">
      <c r="A89" s="63">
        <v>43933</v>
      </c>
      <c r="B89" s="108" t="s">
        <v>604</v>
      </c>
      <c r="C89" s="109">
        <f t="shared" si="5"/>
        <v>15</v>
      </c>
      <c r="D89" s="110" t="s">
        <v>601</v>
      </c>
      <c r="E89" s="111">
        <f>6.81</f>
        <v>6.81</v>
      </c>
      <c r="F89" s="112">
        <f>E89</f>
        <v>6.81</v>
      </c>
      <c r="G89" s="103">
        <f>IF(ISNUMBER(G88),G88+Tabla4[[#This Row],[Ingresos]]-Tabla4[[#This Row],[Gasto ]],0+Tabla4[[#This Row],[Ingresos]]-Tabla4[[#This Row],[Gasto ]])</f>
        <v>18.810000000000002</v>
      </c>
      <c r="I89" s="32"/>
      <c r="J89" s="32"/>
    </row>
    <row r="90" spans="1:10" x14ac:dyDescent="0.25">
      <c r="A90" s="63">
        <v>43933</v>
      </c>
      <c r="B90" s="108" t="s">
        <v>604</v>
      </c>
      <c r="C90" s="65">
        <f t="shared" si="5"/>
        <v>15</v>
      </c>
      <c r="D90" s="66" t="s">
        <v>602</v>
      </c>
      <c r="E90" s="100">
        <f>12</f>
        <v>12</v>
      </c>
      <c r="F90" s="97">
        <f>E90</f>
        <v>12</v>
      </c>
      <c r="G90" s="103">
        <f>IF(ISNUMBER(G89),G89+Tabla4[[#This Row],[Ingresos]]-Tabla4[[#This Row],[Gasto ]],0+Tabla4[[#This Row],[Ingresos]]-Tabla4[[#This Row],[Gasto ]])</f>
        <v>18.810000000000002</v>
      </c>
      <c r="I90" s="32"/>
    </row>
    <row r="91" spans="1:10" x14ac:dyDescent="0.25">
      <c r="A91" s="89">
        <v>43934</v>
      </c>
      <c r="B91" s="166" t="s">
        <v>746</v>
      </c>
      <c r="C91" s="70">
        <f t="shared" ref="C91:C94" si="6">WEEKNUM(A91,21)</f>
        <v>16</v>
      </c>
      <c r="D91" s="198" t="s">
        <v>602</v>
      </c>
      <c r="E91" s="101">
        <v>0</v>
      </c>
      <c r="F91" s="98">
        <v>0</v>
      </c>
      <c r="G91" s="167">
        <f>IF(ISNUMBER(G90),G90+Tabla4[[#This Row],[Ingresos]]-Tabla4[[#This Row],[Gasto ]],0+Tabla4[[#This Row],[Ingresos]]-Tabla4[[#This Row],[Gasto ]])</f>
        <v>18.810000000000002</v>
      </c>
    </row>
    <row r="92" spans="1:10" x14ac:dyDescent="0.25">
      <c r="A92" s="89">
        <v>43934</v>
      </c>
      <c r="B92" s="166" t="s">
        <v>746</v>
      </c>
      <c r="C92" s="70">
        <f t="shared" si="6"/>
        <v>16</v>
      </c>
      <c r="D92" s="69" t="s">
        <v>601</v>
      </c>
      <c r="E92" s="101">
        <v>0</v>
      </c>
      <c r="F92" s="98">
        <v>0</v>
      </c>
      <c r="G92" s="167">
        <f>IF(ISNUMBER(G91),G91+Tabla4[[#This Row],[Ingresos]]-Tabla4[[#This Row],[Gasto ]],0+Tabla4[[#This Row],[Ingresos]]-Tabla4[[#This Row],[Gasto ]])</f>
        <v>18.810000000000002</v>
      </c>
    </row>
    <row r="93" spans="1:10" x14ac:dyDescent="0.25">
      <c r="A93" s="63">
        <v>43940</v>
      </c>
      <c r="B93" s="108" t="s">
        <v>604</v>
      </c>
      <c r="C93" s="109">
        <f t="shared" si="6"/>
        <v>16</v>
      </c>
      <c r="D93" s="110" t="s">
        <v>601</v>
      </c>
      <c r="E93" s="111">
        <f>6.81</f>
        <v>6.81</v>
      </c>
      <c r="F93" s="112">
        <f>E93</f>
        <v>6.81</v>
      </c>
      <c r="G93" s="103">
        <f>IF(ISNUMBER(G92),G92+Tabla4[[#This Row],[Ingresos]]-Tabla4[[#This Row],[Gasto ]],0+Tabla4[[#This Row],[Ingresos]]-Tabla4[[#This Row],[Gasto ]])</f>
        <v>18.810000000000002</v>
      </c>
    </row>
    <row r="94" spans="1:10" x14ac:dyDescent="0.25">
      <c r="A94" s="63">
        <v>43940</v>
      </c>
      <c r="B94" s="108" t="s">
        <v>604</v>
      </c>
      <c r="C94" s="65">
        <f t="shared" si="6"/>
        <v>16</v>
      </c>
      <c r="D94" s="66" t="s">
        <v>602</v>
      </c>
      <c r="E94" s="100">
        <f>12</f>
        <v>12</v>
      </c>
      <c r="F94" s="97">
        <f>E94</f>
        <v>12</v>
      </c>
      <c r="G94" s="103">
        <f>IF(ISNUMBER(G93),G93+Tabla4[[#This Row],[Ingresos]]-Tabla4[[#This Row],[Gasto ]],0+Tabla4[[#This Row],[Ingresos]]-Tabla4[[#This Row],[Gasto ]])</f>
        <v>18.810000000000002</v>
      </c>
    </row>
    <row r="95" spans="1:10" x14ac:dyDescent="0.25">
      <c r="A95" s="89">
        <v>43941</v>
      </c>
      <c r="B95" s="166" t="s">
        <v>746</v>
      </c>
      <c r="C95" s="70">
        <f t="shared" ref="C95:C98" si="7">WEEKNUM(A95,21)</f>
        <v>17</v>
      </c>
      <c r="D95" s="198" t="s">
        <v>602</v>
      </c>
      <c r="E95" s="101">
        <v>0</v>
      </c>
      <c r="F95" s="98">
        <v>0</v>
      </c>
      <c r="G95" s="167">
        <f>IF(ISNUMBER(G94),G94+Tabla4[[#This Row],[Ingresos]]-Tabla4[[#This Row],[Gasto ]],0+Tabla4[[#This Row],[Ingresos]]-Tabla4[[#This Row],[Gasto ]])</f>
        <v>18.810000000000002</v>
      </c>
    </row>
    <row r="96" spans="1:10" x14ac:dyDescent="0.25">
      <c r="A96" s="89">
        <v>43941</v>
      </c>
      <c r="B96" s="166" t="s">
        <v>746</v>
      </c>
      <c r="C96" s="70">
        <f t="shared" si="7"/>
        <v>17</v>
      </c>
      <c r="D96" s="69" t="s">
        <v>601</v>
      </c>
      <c r="E96" s="101">
        <v>0</v>
      </c>
      <c r="F96" s="98">
        <v>0</v>
      </c>
      <c r="G96" s="167">
        <f>IF(ISNUMBER(G95),G95+Tabla4[[#This Row],[Ingresos]]-Tabla4[[#This Row],[Gasto ]],0+Tabla4[[#This Row],[Ingresos]]-Tabla4[[#This Row],[Gasto ]])</f>
        <v>18.810000000000002</v>
      </c>
    </row>
    <row r="97" spans="1:7" x14ac:dyDescent="0.25">
      <c r="A97" s="63">
        <v>43947</v>
      </c>
      <c r="B97" s="108" t="s">
        <v>604</v>
      </c>
      <c r="C97" s="109">
        <f t="shared" si="7"/>
        <v>17</v>
      </c>
      <c r="D97" s="110" t="s">
        <v>601</v>
      </c>
      <c r="E97" s="111">
        <f>6.81</f>
        <v>6.81</v>
      </c>
      <c r="F97" s="112">
        <f>E97</f>
        <v>6.81</v>
      </c>
      <c r="G97" s="103">
        <f>IF(ISNUMBER(G96),G96+Tabla4[[#This Row],[Ingresos]]-Tabla4[[#This Row],[Gasto ]],0+Tabla4[[#This Row],[Ingresos]]-Tabla4[[#This Row],[Gasto ]])</f>
        <v>18.810000000000002</v>
      </c>
    </row>
    <row r="98" spans="1:7" x14ac:dyDescent="0.25">
      <c r="A98" s="63">
        <v>43947</v>
      </c>
      <c r="B98" s="108" t="s">
        <v>604</v>
      </c>
      <c r="C98" s="65">
        <f t="shared" si="7"/>
        <v>17</v>
      </c>
      <c r="D98" s="66" t="s">
        <v>602</v>
      </c>
      <c r="E98" s="100">
        <f>12</f>
        <v>12</v>
      </c>
      <c r="F98" s="97">
        <f>E98</f>
        <v>12</v>
      </c>
      <c r="G98" s="103">
        <f>IF(ISNUMBER(G97),G97+Tabla4[[#This Row],[Ingresos]]-Tabla4[[#This Row],[Gasto ]],0+Tabla4[[#This Row],[Ingresos]]-Tabla4[[#This Row],[Gasto ]])</f>
        <v>18.810000000000002</v>
      </c>
    </row>
    <row r="99" spans="1:7" x14ac:dyDescent="0.25">
      <c r="A99" s="89">
        <v>43948</v>
      </c>
      <c r="B99" s="166" t="s">
        <v>746</v>
      </c>
      <c r="C99" s="70">
        <f t="shared" ref="C99:C102" si="8">WEEKNUM(A99,21)</f>
        <v>18</v>
      </c>
      <c r="D99" s="198" t="s">
        <v>602</v>
      </c>
      <c r="E99" s="101">
        <v>0</v>
      </c>
      <c r="F99" s="98">
        <v>0</v>
      </c>
      <c r="G99" s="167">
        <f>IF(ISNUMBER(G98),G98+Tabla4[[#This Row],[Ingresos]]-Tabla4[[#This Row],[Gasto ]],0+Tabla4[[#This Row],[Ingresos]]-Tabla4[[#This Row],[Gasto ]])</f>
        <v>18.810000000000002</v>
      </c>
    </row>
    <row r="100" spans="1:7" x14ac:dyDescent="0.25">
      <c r="A100" s="89">
        <v>43948</v>
      </c>
      <c r="B100" s="166" t="s">
        <v>746</v>
      </c>
      <c r="C100" s="70">
        <f t="shared" si="8"/>
        <v>18</v>
      </c>
      <c r="D100" s="69" t="s">
        <v>601</v>
      </c>
      <c r="E100" s="101">
        <v>0</v>
      </c>
      <c r="F100" s="98">
        <v>0</v>
      </c>
      <c r="G100" s="167">
        <f>IF(ISNUMBER(G99),G99+Tabla4[[#This Row],[Ingresos]]-Tabla4[[#This Row],[Gasto ]],0+Tabla4[[#This Row],[Ingresos]]-Tabla4[[#This Row],[Gasto ]])</f>
        <v>18.810000000000002</v>
      </c>
    </row>
    <row r="101" spans="1:7" x14ac:dyDescent="0.25">
      <c r="A101" s="63">
        <v>43954</v>
      </c>
      <c r="B101" s="108" t="s">
        <v>604</v>
      </c>
      <c r="C101" s="109">
        <f t="shared" si="8"/>
        <v>18</v>
      </c>
      <c r="D101" s="110" t="s">
        <v>601</v>
      </c>
      <c r="E101" s="111">
        <f>6.81</f>
        <v>6.81</v>
      </c>
      <c r="F101" s="112">
        <f>E101</f>
        <v>6.81</v>
      </c>
      <c r="G101" s="103">
        <f>IF(ISNUMBER(G100),G100+Tabla4[[#This Row],[Ingresos]]-Tabla4[[#This Row],[Gasto ]],0+Tabla4[[#This Row],[Ingresos]]-Tabla4[[#This Row],[Gasto ]])</f>
        <v>18.810000000000002</v>
      </c>
    </row>
    <row r="102" spans="1:7" x14ac:dyDescent="0.25">
      <c r="A102" s="63">
        <v>43954</v>
      </c>
      <c r="B102" s="108" t="s">
        <v>604</v>
      </c>
      <c r="C102" s="65">
        <f t="shared" si="8"/>
        <v>18</v>
      </c>
      <c r="D102" s="66" t="s">
        <v>602</v>
      </c>
      <c r="E102" s="100">
        <f>12</f>
        <v>12</v>
      </c>
      <c r="F102" s="97">
        <f>E102</f>
        <v>12</v>
      </c>
      <c r="G102" s="103">
        <f>IF(ISNUMBER(G101),G101+Tabla4[[#This Row],[Ingresos]]-Tabla4[[#This Row],[Gasto ]],0+Tabla4[[#This Row],[Ingresos]]-Tabla4[[#This Row],[Gasto ]])</f>
        <v>18.810000000000002</v>
      </c>
    </row>
    <row r="103" spans="1:7" x14ac:dyDescent="0.25">
      <c r="A103" s="89">
        <v>43955</v>
      </c>
      <c r="B103" s="166" t="s">
        <v>746</v>
      </c>
      <c r="C103" s="70">
        <f t="shared" ref="C103:C106" si="9">WEEKNUM(A103,21)</f>
        <v>19</v>
      </c>
      <c r="D103" s="198" t="s">
        <v>602</v>
      </c>
      <c r="E103" s="101">
        <v>0</v>
      </c>
      <c r="F103" s="98">
        <v>0</v>
      </c>
      <c r="G103" s="167">
        <f>IF(ISNUMBER(G102),G102+Tabla4[[#This Row],[Ingresos]]-Tabla4[[#This Row],[Gasto ]],0+Tabla4[[#This Row],[Ingresos]]-Tabla4[[#This Row],[Gasto ]])</f>
        <v>18.810000000000002</v>
      </c>
    </row>
    <row r="104" spans="1:7" x14ac:dyDescent="0.25">
      <c r="A104" s="89">
        <v>43955</v>
      </c>
      <c r="B104" s="166" t="s">
        <v>746</v>
      </c>
      <c r="C104" s="70">
        <f t="shared" si="9"/>
        <v>19</v>
      </c>
      <c r="D104" s="69" t="s">
        <v>601</v>
      </c>
      <c r="E104" s="101">
        <v>0</v>
      </c>
      <c r="F104" s="98">
        <v>0</v>
      </c>
      <c r="G104" s="167">
        <f>IF(ISNUMBER(G103),G103+Tabla4[[#This Row],[Ingresos]]-Tabla4[[#This Row],[Gasto ]],0+Tabla4[[#This Row],[Ingresos]]-Tabla4[[#This Row],[Gasto ]])</f>
        <v>18.810000000000002</v>
      </c>
    </row>
    <row r="105" spans="1:7" x14ac:dyDescent="0.25">
      <c r="A105" s="63">
        <v>43961</v>
      </c>
      <c r="B105" s="108" t="s">
        <v>604</v>
      </c>
      <c r="C105" s="109">
        <f t="shared" si="9"/>
        <v>19</v>
      </c>
      <c r="D105" s="110" t="s">
        <v>601</v>
      </c>
      <c r="E105" s="111">
        <f>6.81</f>
        <v>6.81</v>
      </c>
      <c r="F105" s="112">
        <f>E105</f>
        <v>6.81</v>
      </c>
      <c r="G105" s="103">
        <f>IF(ISNUMBER(G104),G104+Tabla4[[#This Row],[Ingresos]]-Tabla4[[#This Row],[Gasto ]],0+Tabla4[[#This Row],[Ingresos]]-Tabla4[[#This Row],[Gasto ]])</f>
        <v>18.810000000000002</v>
      </c>
    </row>
    <row r="106" spans="1:7" x14ac:dyDescent="0.25">
      <c r="A106" s="63">
        <v>43961</v>
      </c>
      <c r="B106" s="108" t="s">
        <v>604</v>
      </c>
      <c r="C106" s="65">
        <f t="shared" si="9"/>
        <v>19</v>
      </c>
      <c r="D106" s="66" t="s">
        <v>602</v>
      </c>
      <c r="E106" s="100">
        <f>12</f>
        <v>12</v>
      </c>
      <c r="F106" s="97">
        <f>E106</f>
        <v>12</v>
      </c>
      <c r="G106" s="103">
        <f>IF(ISNUMBER(G105),G105+Tabla4[[#This Row],[Ingresos]]-Tabla4[[#This Row],[Gasto ]],0+Tabla4[[#This Row],[Ingresos]]-Tabla4[[#This Row],[Gasto ]])</f>
        <v>18.810000000000002</v>
      </c>
    </row>
    <row r="107" spans="1:7" x14ac:dyDescent="0.25">
      <c r="A107" s="89">
        <v>43962</v>
      </c>
      <c r="B107" s="166" t="s">
        <v>746</v>
      </c>
      <c r="C107" s="70">
        <f t="shared" ref="C107:C110" si="10">WEEKNUM(A107,21)</f>
        <v>20</v>
      </c>
      <c r="D107" s="198" t="s">
        <v>602</v>
      </c>
      <c r="E107" s="101">
        <v>0</v>
      </c>
      <c r="F107" s="98">
        <v>0</v>
      </c>
      <c r="G107" s="167">
        <f>IF(ISNUMBER(G106),G106+Tabla4[[#This Row],[Ingresos]]-Tabla4[[#This Row],[Gasto ]],0+Tabla4[[#This Row],[Ingresos]]-Tabla4[[#This Row],[Gasto ]])</f>
        <v>18.810000000000002</v>
      </c>
    </row>
    <row r="108" spans="1:7" x14ac:dyDescent="0.25">
      <c r="A108" s="89">
        <v>43962</v>
      </c>
      <c r="B108" s="166" t="s">
        <v>746</v>
      </c>
      <c r="C108" s="70">
        <f t="shared" si="10"/>
        <v>20</v>
      </c>
      <c r="D108" s="69" t="s">
        <v>601</v>
      </c>
      <c r="E108" s="101">
        <v>0</v>
      </c>
      <c r="F108" s="98">
        <v>0</v>
      </c>
      <c r="G108" s="167">
        <f>IF(ISNUMBER(G107),G107+Tabla4[[#This Row],[Ingresos]]-Tabla4[[#This Row],[Gasto ]],0+Tabla4[[#This Row],[Ingresos]]-Tabla4[[#This Row],[Gasto ]])</f>
        <v>18.810000000000002</v>
      </c>
    </row>
    <row r="109" spans="1:7" x14ac:dyDescent="0.25">
      <c r="A109" s="63">
        <v>43968</v>
      </c>
      <c r="B109" s="108" t="s">
        <v>604</v>
      </c>
      <c r="C109" s="109">
        <f t="shared" si="10"/>
        <v>20</v>
      </c>
      <c r="D109" s="110" t="s">
        <v>601</v>
      </c>
      <c r="E109" s="111">
        <f>6.81</f>
        <v>6.81</v>
      </c>
      <c r="F109" s="112">
        <f>E109</f>
        <v>6.81</v>
      </c>
      <c r="G109" s="103">
        <f>IF(ISNUMBER(G108),G108+Tabla4[[#This Row],[Ingresos]]-Tabla4[[#This Row],[Gasto ]],0+Tabla4[[#This Row],[Ingresos]]-Tabla4[[#This Row],[Gasto ]])</f>
        <v>18.810000000000002</v>
      </c>
    </row>
    <row r="110" spans="1:7" x14ac:dyDescent="0.25">
      <c r="A110" s="63">
        <v>43968</v>
      </c>
      <c r="B110" s="108" t="s">
        <v>604</v>
      </c>
      <c r="C110" s="65">
        <f t="shared" si="10"/>
        <v>20</v>
      </c>
      <c r="D110" s="66" t="s">
        <v>602</v>
      </c>
      <c r="E110" s="100">
        <f>12</f>
        <v>12</v>
      </c>
      <c r="F110" s="97">
        <f>E110</f>
        <v>12</v>
      </c>
      <c r="G110" s="103">
        <f>IF(ISNUMBER(G109),G109+Tabla4[[#This Row],[Ingresos]]-Tabla4[[#This Row],[Gasto ]],0+Tabla4[[#This Row],[Ingresos]]-Tabla4[[#This Row],[Gasto ]])</f>
        <v>18.810000000000002</v>
      </c>
    </row>
    <row r="111" spans="1:7" x14ac:dyDescent="0.25">
      <c r="A111" s="89">
        <v>43969</v>
      </c>
      <c r="B111" s="118" t="s">
        <v>600</v>
      </c>
      <c r="C111" s="70">
        <f t="shared" ref="C111:C114" si="11">WEEKNUM(A111,21)</f>
        <v>21</v>
      </c>
      <c r="D111" s="198" t="s">
        <v>602</v>
      </c>
      <c r="E111" s="101">
        <v>2</v>
      </c>
      <c r="F111" s="98">
        <v>0</v>
      </c>
      <c r="G111" s="167">
        <f>IF(ISNUMBER(G110),G110+Tabla4[[#This Row],[Ingresos]]-Tabla4[[#This Row],[Gasto ]],0+Tabla4[[#This Row],[Ingresos]]-Tabla4[[#This Row],[Gasto ]])</f>
        <v>20.810000000000002</v>
      </c>
    </row>
    <row r="112" spans="1:7" x14ac:dyDescent="0.25">
      <c r="A112" s="89">
        <v>43969</v>
      </c>
      <c r="B112" s="118" t="s">
        <v>600</v>
      </c>
      <c r="C112" s="70">
        <f t="shared" si="11"/>
        <v>21</v>
      </c>
      <c r="D112" s="69" t="s">
        <v>601</v>
      </c>
      <c r="E112" s="101">
        <v>2</v>
      </c>
      <c r="F112" s="98">
        <v>0</v>
      </c>
      <c r="G112" s="167">
        <f>IF(ISNUMBER(G111),G111+Tabla4[[#This Row],[Ingresos]]-Tabla4[[#This Row],[Gasto ]],0+Tabla4[[#This Row],[Ingresos]]-Tabla4[[#This Row],[Gasto ]])</f>
        <v>22.810000000000002</v>
      </c>
    </row>
    <row r="113" spans="1:7" x14ac:dyDescent="0.25">
      <c r="A113" s="63">
        <v>43975</v>
      </c>
      <c r="B113" s="108" t="s">
        <v>604</v>
      </c>
      <c r="C113" s="109">
        <f t="shared" si="11"/>
        <v>21</v>
      </c>
      <c r="D113" s="110" t="s">
        <v>601</v>
      </c>
      <c r="E113" s="111"/>
      <c r="F113" s="112">
        <f>E113</f>
        <v>0</v>
      </c>
      <c r="G113" s="103">
        <f>IF(ISNUMBER(G112),G112+Tabla4[[#This Row],[Ingresos]]-Tabla4[[#This Row],[Gasto ]],0+Tabla4[[#This Row],[Ingresos]]-Tabla4[[#This Row],[Gasto ]])</f>
        <v>22.810000000000002</v>
      </c>
    </row>
    <row r="114" spans="1:7" x14ac:dyDescent="0.25">
      <c r="A114" s="63">
        <v>43975</v>
      </c>
      <c r="B114" s="108" t="s">
        <v>604</v>
      </c>
      <c r="C114" s="65">
        <f t="shared" si="11"/>
        <v>21</v>
      </c>
      <c r="D114" s="66" t="s">
        <v>602</v>
      </c>
      <c r="E114" s="100"/>
      <c r="F114" s="97">
        <f>E114</f>
        <v>0</v>
      </c>
      <c r="G114" s="103">
        <f>IF(ISNUMBER(G113),G113+Tabla4[[#This Row],[Ingresos]]-Tabla4[[#This Row],[Gasto ]],0+Tabla4[[#This Row],[Ingresos]]-Tabla4[[#This Row],[Gasto ]])</f>
        <v>22.810000000000002</v>
      </c>
    </row>
    <row r="115" spans="1:7" ht="15" x14ac:dyDescent="0.25">
      <c r="A115" s="33" t="s">
        <v>16</v>
      </c>
      <c r="B115"/>
      <c r="C115" s="34"/>
      <c r="D115" s="31"/>
      <c r="E115" s="105">
        <f>SUBTOTAL(109,Tabla4[Ingresos])</f>
        <v>617.00999999999976</v>
      </c>
      <c r="F115" s="106">
        <f>SUBTOTAL(109,Tabla4[[Gasto ]])</f>
        <v>594.19999999999982</v>
      </c>
      <c r="G115" s="107">
        <f>+Tabla4[[#Totals],[Ingresos]]-Tabla4[[#Totals],[Gasto ]]</f>
        <v>22.809999999999945</v>
      </c>
    </row>
  </sheetData>
  <mergeCells count="1">
    <mergeCell ref="A1:G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2"/>
  <dimension ref="A1:T649"/>
  <sheetViews>
    <sheetView topLeftCell="A641" zoomScale="180" zoomScaleNormal="145" workbookViewId="0">
      <selection activeCell="F638" sqref="F638"/>
    </sheetView>
  </sheetViews>
  <sheetFormatPr baseColWidth="10" defaultColWidth="10.7109375" defaultRowHeight="12.75" x14ac:dyDescent="0.25"/>
  <cols>
    <col min="1" max="1" width="4.140625" style="17" bestFit="1" customWidth="1"/>
    <col min="2" max="2" width="9" style="17" bestFit="1" customWidth="1"/>
    <col min="3" max="3" width="10.5703125" style="17" bestFit="1" customWidth="1"/>
    <col min="4" max="4" width="4" style="17" bestFit="1" customWidth="1"/>
    <col min="5" max="5" width="5.140625" style="17" bestFit="1" customWidth="1"/>
    <col min="6" max="11" width="3.28515625" style="17" bestFit="1" customWidth="1"/>
    <col min="12" max="12" width="3.140625" style="17" bestFit="1" customWidth="1"/>
    <col min="13" max="13" width="2.28515625" style="17" bestFit="1" customWidth="1"/>
    <col min="14" max="14" width="4.42578125" style="17" bestFit="1" customWidth="1"/>
    <col min="15" max="15" width="10.7109375" style="17"/>
    <col min="16" max="17" width="3.140625" style="17" bestFit="1" customWidth="1"/>
    <col min="18" max="18" width="10.7109375" style="17"/>
    <col min="19" max="19" width="2" style="17" bestFit="1" customWidth="1"/>
    <col min="20" max="20" width="3.140625" style="17" bestFit="1" customWidth="1"/>
    <col min="21" max="16384" width="10.7109375" style="17"/>
  </cols>
  <sheetData>
    <row r="1" spans="1:20" x14ac:dyDescent="0.25">
      <c r="A1" s="28" t="s">
        <v>17</v>
      </c>
      <c r="B1" s="28" t="s">
        <v>18</v>
      </c>
      <c r="C1" s="28" t="s">
        <v>19</v>
      </c>
      <c r="D1" s="27" t="s">
        <v>20</v>
      </c>
      <c r="E1" s="27" t="s">
        <v>21</v>
      </c>
      <c r="F1" s="27" t="s">
        <v>22</v>
      </c>
      <c r="G1" s="27" t="s">
        <v>23</v>
      </c>
      <c r="H1" s="27" t="s">
        <v>24</v>
      </c>
      <c r="I1" s="27" t="s">
        <v>25</v>
      </c>
      <c r="J1" s="27" t="s">
        <v>26</v>
      </c>
      <c r="K1" s="27" t="s">
        <v>27</v>
      </c>
      <c r="L1" s="28" t="s">
        <v>28</v>
      </c>
      <c r="M1" s="28" t="s">
        <v>29</v>
      </c>
      <c r="N1" s="27" t="s">
        <v>30</v>
      </c>
    </row>
    <row r="2" spans="1:20" x14ac:dyDescent="0.25">
      <c r="A2" s="18">
        <v>313</v>
      </c>
      <c r="B2" s="24" t="s">
        <v>31</v>
      </c>
      <c r="C2" s="25">
        <v>41641</v>
      </c>
      <c r="D2" s="18" t="str">
        <f t="shared" ref="D2:D25" si="0">CHOOSE(WEEKDAY(C2),"D","L","M","X","J","V","S")</f>
        <v>J</v>
      </c>
      <c r="E2" s="19">
        <f t="shared" ref="E2:E25" si="1">WEEKNUM(C2,21)</f>
        <v>1</v>
      </c>
      <c r="F2" s="26">
        <v>37</v>
      </c>
      <c r="G2" s="26">
        <v>42</v>
      </c>
      <c r="H2" s="26">
        <v>35</v>
      </c>
      <c r="I2" s="26">
        <v>21</v>
      </c>
      <c r="J2" s="26">
        <v>33</v>
      </c>
      <c r="K2" s="26">
        <v>41</v>
      </c>
      <c r="L2" s="26">
        <v>38</v>
      </c>
      <c r="M2" s="26">
        <v>1</v>
      </c>
      <c r="N2" s="18" t="s">
        <v>32</v>
      </c>
      <c r="S2" s="17">
        <v>8</v>
      </c>
      <c r="T2" s="17">
        <f>COUNTIF(Tabla1[R],S2)</f>
        <v>74</v>
      </c>
    </row>
    <row r="3" spans="1:20" x14ac:dyDescent="0.25">
      <c r="A3" s="18">
        <f>+A2+1</f>
        <v>314</v>
      </c>
      <c r="B3" s="24" t="s">
        <v>33</v>
      </c>
      <c r="C3" s="25">
        <f>+C2+2</f>
        <v>41643</v>
      </c>
      <c r="D3" s="18" t="str">
        <f t="shared" si="0"/>
        <v>S</v>
      </c>
      <c r="E3" s="19">
        <f t="shared" si="1"/>
        <v>1</v>
      </c>
      <c r="F3" s="26">
        <v>18</v>
      </c>
      <c r="G3" s="26">
        <v>13</v>
      </c>
      <c r="H3" s="26">
        <v>45</v>
      </c>
      <c r="I3" s="26">
        <v>43</v>
      </c>
      <c r="J3" s="26">
        <v>11</v>
      </c>
      <c r="K3" s="26">
        <v>16</v>
      </c>
      <c r="L3" s="26">
        <v>49</v>
      </c>
      <c r="M3" s="26">
        <v>9</v>
      </c>
      <c r="N3" s="18" t="s">
        <v>32</v>
      </c>
      <c r="S3" s="17">
        <v>2</v>
      </c>
      <c r="T3" s="17">
        <f>COUNTIF(Tabla1[R],S3)</f>
        <v>73</v>
      </c>
    </row>
    <row r="4" spans="1:20" x14ac:dyDescent="0.25">
      <c r="A4" s="18">
        <f t="shared" ref="A4:A67" si="2">+A3+1</f>
        <v>315</v>
      </c>
      <c r="B4" s="24" t="s">
        <v>34</v>
      </c>
      <c r="C4" s="25">
        <f>+C2+7</f>
        <v>41648</v>
      </c>
      <c r="D4" s="18" t="str">
        <f t="shared" si="0"/>
        <v>J</v>
      </c>
      <c r="E4" s="19">
        <f t="shared" si="1"/>
        <v>2</v>
      </c>
      <c r="F4" s="26">
        <v>32</v>
      </c>
      <c r="G4" s="26">
        <v>41</v>
      </c>
      <c r="H4" s="26">
        <v>13</v>
      </c>
      <c r="I4" s="26">
        <v>45</v>
      </c>
      <c r="J4" s="26">
        <v>30</v>
      </c>
      <c r="K4" s="26">
        <v>15</v>
      </c>
      <c r="L4" s="26">
        <v>43</v>
      </c>
      <c r="M4" s="26">
        <v>8</v>
      </c>
      <c r="N4" s="18" t="s">
        <v>32</v>
      </c>
      <c r="S4" s="17">
        <v>3</v>
      </c>
      <c r="T4" s="17">
        <f>COUNTIF(Tabla1[R],S4)</f>
        <v>68</v>
      </c>
    </row>
    <row r="5" spans="1:20" x14ac:dyDescent="0.25">
      <c r="A5" s="18">
        <f t="shared" si="2"/>
        <v>316</v>
      </c>
      <c r="B5" s="24" t="s">
        <v>35</v>
      </c>
      <c r="C5" s="25">
        <f>+C3+7</f>
        <v>41650</v>
      </c>
      <c r="D5" s="18" t="str">
        <f t="shared" si="0"/>
        <v>S</v>
      </c>
      <c r="E5" s="19">
        <f t="shared" si="1"/>
        <v>2</v>
      </c>
      <c r="F5" s="26">
        <v>16</v>
      </c>
      <c r="G5" s="26">
        <v>9</v>
      </c>
      <c r="H5" s="26">
        <v>43</v>
      </c>
      <c r="I5" s="26">
        <v>35</v>
      </c>
      <c r="J5" s="26">
        <v>27</v>
      </c>
      <c r="K5" s="26">
        <v>46</v>
      </c>
      <c r="L5" s="26">
        <v>34</v>
      </c>
      <c r="M5" s="26">
        <v>9</v>
      </c>
      <c r="N5" s="18" t="s">
        <v>32</v>
      </c>
      <c r="S5" s="17">
        <v>7</v>
      </c>
      <c r="T5" s="17">
        <f>COUNTIF(Tabla1[R],S5)</f>
        <v>68</v>
      </c>
    </row>
    <row r="6" spans="1:20" x14ac:dyDescent="0.25">
      <c r="A6" s="18">
        <f t="shared" si="2"/>
        <v>317</v>
      </c>
      <c r="B6" s="24" t="s">
        <v>36</v>
      </c>
      <c r="C6" s="25">
        <f t="shared" ref="C6:C37" si="3">C4+7</f>
        <v>41655</v>
      </c>
      <c r="D6" s="18" t="str">
        <f t="shared" si="0"/>
        <v>J</v>
      </c>
      <c r="E6" s="19">
        <f t="shared" si="1"/>
        <v>3</v>
      </c>
      <c r="F6" s="26">
        <v>13</v>
      </c>
      <c r="G6" s="26">
        <v>9</v>
      </c>
      <c r="H6" s="26">
        <v>12</v>
      </c>
      <c r="I6" s="26">
        <v>48</v>
      </c>
      <c r="J6" s="26">
        <v>29</v>
      </c>
      <c r="K6" s="26">
        <v>7</v>
      </c>
      <c r="L6" s="26">
        <v>46</v>
      </c>
      <c r="M6" s="26">
        <v>5</v>
      </c>
      <c r="N6" s="18" t="s">
        <v>32</v>
      </c>
      <c r="S6" s="17">
        <v>6</v>
      </c>
      <c r="T6" s="17">
        <f>COUNTIF(Tabla1[R],S6)</f>
        <v>66</v>
      </c>
    </row>
    <row r="7" spans="1:20" x14ac:dyDescent="0.25">
      <c r="A7" s="18">
        <f t="shared" si="2"/>
        <v>318</v>
      </c>
      <c r="B7" s="24" t="s">
        <v>37</v>
      </c>
      <c r="C7" s="25">
        <f t="shared" si="3"/>
        <v>41657</v>
      </c>
      <c r="D7" s="18" t="str">
        <f t="shared" si="0"/>
        <v>S</v>
      </c>
      <c r="E7" s="19">
        <f t="shared" si="1"/>
        <v>3</v>
      </c>
      <c r="F7" s="26">
        <v>24</v>
      </c>
      <c r="G7" s="26">
        <v>27</v>
      </c>
      <c r="H7" s="26">
        <v>1</v>
      </c>
      <c r="I7" s="26">
        <v>36</v>
      </c>
      <c r="J7" s="26">
        <v>46</v>
      </c>
      <c r="K7" s="26">
        <v>3</v>
      </c>
      <c r="L7" s="26">
        <v>12</v>
      </c>
      <c r="M7" s="26">
        <v>5</v>
      </c>
      <c r="N7" s="18" t="s">
        <v>32</v>
      </c>
      <c r="S7" s="17">
        <v>4</v>
      </c>
      <c r="T7" s="17">
        <f>COUNTIF(Tabla1[R],S7)</f>
        <v>65</v>
      </c>
    </row>
    <row r="8" spans="1:20" x14ac:dyDescent="0.25">
      <c r="A8" s="18">
        <f t="shared" si="2"/>
        <v>319</v>
      </c>
      <c r="B8" s="24" t="s">
        <v>38</v>
      </c>
      <c r="C8" s="25">
        <f t="shared" si="3"/>
        <v>41662</v>
      </c>
      <c r="D8" s="18" t="str">
        <f t="shared" si="0"/>
        <v>J</v>
      </c>
      <c r="E8" s="19">
        <f t="shared" si="1"/>
        <v>4</v>
      </c>
      <c r="F8" s="26">
        <v>49</v>
      </c>
      <c r="G8" s="26">
        <v>34</v>
      </c>
      <c r="H8" s="26">
        <v>47</v>
      </c>
      <c r="I8" s="26">
        <v>24</v>
      </c>
      <c r="J8" s="26">
        <v>5</v>
      </c>
      <c r="K8" s="26">
        <v>45</v>
      </c>
      <c r="L8" s="26">
        <v>14</v>
      </c>
      <c r="M8" s="26">
        <v>0</v>
      </c>
      <c r="N8" s="18" t="s">
        <v>32</v>
      </c>
      <c r="S8" s="17">
        <v>1</v>
      </c>
      <c r="T8" s="17">
        <f>COUNTIF(Tabla1[R],S8)</f>
        <v>59</v>
      </c>
    </row>
    <row r="9" spans="1:20" x14ac:dyDescent="0.25">
      <c r="A9" s="18">
        <f t="shared" si="2"/>
        <v>320</v>
      </c>
      <c r="B9" s="24" t="s">
        <v>39</v>
      </c>
      <c r="C9" s="25">
        <f t="shared" si="3"/>
        <v>41664</v>
      </c>
      <c r="D9" s="18" t="str">
        <f t="shared" si="0"/>
        <v>S</v>
      </c>
      <c r="E9" s="19">
        <f t="shared" si="1"/>
        <v>4</v>
      </c>
      <c r="F9" s="26">
        <v>7</v>
      </c>
      <c r="G9" s="26">
        <v>6</v>
      </c>
      <c r="H9" s="26">
        <v>34</v>
      </c>
      <c r="I9" s="26">
        <v>49</v>
      </c>
      <c r="J9" s="26">
        <v>21</v>
      </c>
      <c r="K9" s="26">
        <v>3</v>
      </c>
      <c r="L9" s="26">
        <v>35</v>
      </c>
      <c r="M9" s="26">
        <v>1</v>
      </c>
      <c r="N9" s="18" t="s">
        <v>32</v>
      </c>
      <c r="S9" s="17">
        <v>5</v>
      </c>
      <c r="T9" s="17">
        <f>COUNTIF(Tabla1[R],S9)</f>
        <v>63</v>
      </c>
    </row>
    <row r="10" spans="1:20" x14ac:dyDescent="0.25">
      <c r="A10" s="18">
        <f t="shared" si="2"/>
        <v>321</v>
      </c>
      <c r="B10" s="24" t="s">
        <v>40</v>
      </c>
      <c r="C10" s="25">
        <f t="shared" si="3"/>
        <v>41669</v>
      </c>
      <c r="D10" s="18" t="str">
        <f t="shared" si="0"/>
        <v>J</v>
      </c>
      <c r="E10" s="19">
        <f t="shared" si="1"/>
        <v>5</v>
      </c>
      <c r="F10" s="26">
        <v>41</v>
      </c>
      <c r="G10" s="26">
        <v>2</v>
      </c>
      <c r="H10" s="26">
        <v>18</v>
      </c>
      <c r="I10" s="26">
        <v>33</v>
      </c>
      <c r="J10" s="26">
        <v>3</v>
      </c>
      <c r="K10" s="26">
        <v>36</v>
      </c>
      <c r="L10" s="26">
        <v>4</v>
      </c>
      <c r="M10" s="26">
        <v>8</v>
      </c>
      <c r="N10" s="18" t="s">
        <v>32</v>
      </c>
      <c r="S10" s="17">
        <v>0</v>
      </c>
      <c r="T10" s="17">
        <f>COUNTIF(Tabla1[R],S10)</f>
        <v>56</v>
      </c>
    </row>
    <row r="11" spans="1:20" x14ac:dyDescent="0.25">
      <c r="A11" s="18">
        <f t="shared" si="2"/>
        <v>322</v>
      </c>
      <c r="B11" s="24" t="s">
        <v>41</v>
      </c>
      <c r="C11" s="25">
        <f t="shared" si="3"/>
        <v>41671</v>
      </c>
      <c r="D11" s="18" t="str">
        <f t="shared" si="0"/>
        <v>S</v>
      </c>
      <c r="E11" s="19">
        <f t="shared" si="1"/>
        <v>5</v>
      </c>
      <c r="F11" s="26">
        <v>31</v>
      </c>
      <c r="G11" s="26">
        <v>27</v>
      </c>
      <c r="H11" s="26">
        <v>28</v>
      </c>
      <c r="I11" s="26">
        <v>13</v>
      </c>
      <c r="J11" s="26">
        <v>34</v>
      </c>
      <c r="K11" s="26">
        <v>9</v>
      </c>
      <c r="L11" s="26">
        <v>11</v>
      </c>
      <c r="M11" s="26">
        <v>2</v>
      </c>
      <c r="N11" s="18" t="s">
        <v>32</v>
      </c>
      <c r="S11" s="17">
        <v>9</v>
      </c>
      <c r="T11" s="17">
        <f>COUNTIF(Tabla1[R],S11)</f>
        <v>56</v>
      </c>
    </row>
    <row r="12" spans="1:20" x14ac:dyDescent="0.25">
      <c r="A12" s="18">
        <f t="shared" si="2"/>
        <v>323</v>
      </c>
      <c r="B12" s="24" t="s">
        <v>42</v>
      </c>
      <c r="C12" s="25">
        <f t="shared" si="3"/>
        <v>41676</v>
      </c>
      <c r="D12" s="18" t="str">
        <f t="shared" si="0"/>
        <v>J</v>
      </c>
      <c r="E12" s="19">
        <f t="shared" si="1"/>
        <v>6</v>
      </c>
      <c r="F12" s="26">
        <v>36</v>
      </c>
      <c r="G12" s="26">
        <v>4</v>
      </c>
      <c r="H12" s="26">
        <v>32</v>
      </c>
      <c r="I12" s="26">
        <v>46</v>
      </c>
      <c r="J12" s="26">
        <v>37</v>
      </c>
      <c r="K12" s="26">
        <v>23</v>
      </c>
      <c r="L12" s="26">
        <v>3</v>
      </c>
      <c r="M12" s="26">
        <v>7</v>
      </c>
      <c r="N12" s="18" t="s">
        <v>32</v>
      </c>
    </row>
    <row r="13" spans="1:20" x14ac:dyDescent="0.25">
      <c r="A13" s="18">
        <f t="shared" si="2"/>
        <v>324</v>
      </c>
      <c r="B13" s="24" t="s">
        <v>43</v>
      </c>
      <c r="C13" s="25">
        <f t="shared" si="3"/>
        <v>41678</v>
      </c>
      <c r="D13" s="18" t="str">
        <f t="shared" si="0"/>
        <v>S</v>
      </c>
      <c r="E13" s="19">
        <f t="shared" si="1"/>
        <v>6</v>
      </c>
      <c r="F13" s="26">
        <v>29</v>
      </c>
      <c r="G13" s="26">
        <v>22</v>
      </c>
      <c r="H13" s="26">
        <v>7</v>
      </c>
      <c r="I13" s="26">
        <v>4</v>
      </c>
      <c r="J13" s="26">
        <v>40</v>
      </c>
      <c r="K13" s="26">
        <v>30</v>
      </c>
      <c r="L13" s="26">
        <v>33</v>
      </c>
      <c r="M13" s="26">
        <v>8</v>
      </c>
      <c r="N13" s="18" t="s">
        <v>32</v>
      </c>
    </row>
    <row r="14" spans="1:20" x14ac:dyDescent="0.25">
      <c r="A14" s="18">
        <f t="shared" si="2"/>
        <v>325</v>
      </c>
      <c r="B14" s="24" t="s">
        <v>44</v>
      </c>
      <c r="C14" s="25">
        <f t="shared" si="3"/>
        <v>41683</v>
      </c>
      <c r="D14" s="18" t="str">
        <f t="shared" si="0"/>
        <v>J</v>
      </c>
      <c r="E14" s="19">
        <f t="shared" si="1"/>
        <v>7</v>
      </c>
      <c r="F14" s="26">
        <v>46</v>
      </c>
      <c r="G14" s="26">
        <v>45</v>
      </c>
      <c r="H14" s="26">
        <v>15</v>
      </c>
      <c r="I14" s="26">
        <v>34</v>
      </c>
      <c r="J14" s="26">
        <v>18</v>
      </c>
      <c r="K14" s="26">
        <v>1</v>
      </c>
      <c r="L14" s="26">
        <v>20</v>
      </c>
      <c r="M14" s="26">
        <v>7</v>
      </c>
      <c r="N14" s="18" t="s">
        <v>32</v>
      </c>
    </row>
    <row r="15" spans="1:20" x14ac:dyDescent="0.25">
      <c r="A15" s="18">
        <f t="shared" si="2"/>
        <v>326</v>
      </c>
      <c r="B15" s="24" t="s">
        <v>45</v>
      </c>
      <c r="C15" s="25">
        <f t="shared" si="3"/>
        <v>41685</v>
      </c>
      <c r="D15" s="18" t="str">
        <f t="shared" si="0"/>
        <v>S</v>
      </c>
      <c r="E15" s="19">
        <f t="shared" si="1"/>
        <v>7</v>
      </c>
      <c r="F15" s="26">
        <v>35</v>
      </c>
      <c r="G15" s="26">
        <v>36</v>
      </c>
      <c r="H15" s="26">
        <v>17</v>
      </c>
      <c r="I15" s="26">
        <v>49</v>
      </c>
      <c r="J15" s="26">
        <v>48</v>
      </c>
      <c r="K15" s="26">
        <v>31</v>
      </c>
      <c r="L15" s="26">
        <v>21</v>
      </c>
      <c r="M15" s="26">
        <v>5</v>
      </c>
      <c r="N15" s="18" t="s">
        <v>32</v>
      </c>
    </row>
    <row r="16" spans="1:20" x14ac:dyDescent="0.25">
      <c r="A16" s="18">
        <f t="shared" si="2"/>
        <v>327</v>
      </c>
      <c r="B16" s="24" t="s">
        <v>46</v>
      </c>
      <c r="C16" s="25">
        <f t="shared" si="3"/>
        <v>41690</v>
      </c>
      <c r="D16" s="18" t="str">
        <f t="shared" si="0"/>
        <v>J</v>
      </c>
      <c r="E16" s="19">
        <f t="shared" si="1"/>
        <v>8</v>
      </c>
      <c r="F16" s="26">
        <v>49</v>
      </c>
      <c r="G16" s="26">
        <v>27</v>
      </c>
      <c r="H16" s="26">
        <v>1</v>
      </c>
      <c r="I16" s="26">
        <v>34</v>
      </c>
      <c r="J16" s="26">
        <v>4</v>
      </c>
      <c r="K16" s="26">
        <v>17</v>
      </c>
      <c r="L16" s="26">
        <v>13</v>
      </c>
      <c r="M16" s="26">
        <v>6</v>
      </c>
      <c r="N16" s="18" t="s">
        <v>32</v>
      </c>
    </row>
    <row r="17" spans="1:14" x14ac:dyDescent="0.25">
      <c r="A17" s="18">
        <f t="shared" si="2"/>
        <v>328</v>
      </c>
      <c r="B17" s="24" t="s">
        <v>47</v>
      </c>
      <c r="C17" s="25">
        <f t="shared" si="3"/>
        <v>41692</v>
      </c>
      <c r="D17" s="18" t="str">
        <f t="shared" si="0"/>
        <v>S</v>
      </c>
      <c r="E17" s="19">
        <f t="shared" si="1"/>
        <v>8</v>
      </c>
      <c r="F17" s="26">
        <v>39</v>
      </c>
      <c r="G17" s="26">
        <v>25</v>
      </c>
      <c r="H17" s="26">
        <v>15</v>
      </c>
      <c r="I17" s="26">
        <v>44</v>
      </c>
      <c r="J17" s="26">
        <v>4</v>
      </c>
      <c r="K17" s="26">
        <v>30</v>
      </c>
      <c r="L17" s="26">
        <v>31</v>
      </c>
      <c r="M17" s="26">
        <v>8</v>
      </c>
      <c r="N17" s="18" t="s">
        <v>32</v>
      </c>
    </row>
    <row r="18" spans="1:14" x14ac:dyDescent="0.25">
      <c r="A18" s="18">
        <f t="shared" si="2"/>
        <v>329</v>
      </c>
      <c r="B18" s="24" t="s">
        <v>48</v>
      </c>
      <c r="C18" s="25">
        <f t="shared" si="3"/>
        <v>41697</v>
      </c>
      <c r="D18" s="18" t="str">
        <f t="shared" si="0"/>
        <v>J</v>
      </c>
      <c r="E18" s="19">
        <f t="shared" si="1"/>
        <v>9</v>
      </c>
      <c r="F18" s="26">
        <v>38</v>
      </c>
      <c r="G18" s="26">
        <v>29</v>
      </c>
      <c r="H18" s="26">
        <v>31</v>
      </c>
      <c r="I18" s="26">
        <v>36</v>
      </c>
      <c r="J18" s="26">
        <v>10</v>
      </c>
      <c r="K18" s="26">
        <v>46</v>
      </c>
      <c r="L18" s="26">
        <v>8</v>
      </c>
      <c r="M18" s="26">
        <v>8</v>
      </c>
      <c r="N18" s="18" t="s">
        <v>32</v>
      </c>
    </row>
    <row r="19" spans="1:14" x14ac:dyDescent="0.25">
      <c r="A19" s="18">
        <f t="shared" si="2"/>
        <v>330</v>
      </c>
      <c r="B19" s="24" t="s">
        <v>49</v>
      </c>
      <c r="C19" s="25">
        <f t="shared" si="3"/>
        <v>41699</v>
      </c>
      <c r="D19" s="18" t="str">
        <f t="shared" si="0"/>
        <v>S</v>
      </c>
      <c r="E19" s="19">
        <f t="shared" si="1"/>
        <v>9</v>
      </c>
      <c r="F19" s="26">
        <v>20</v>
      </c>
      <c r="G19" s="26">
        <v>19</v>
      </c>
      <c r="H19" s="26">
        <v>2</v>
      </c>
      <c r="I19" s="26">
        <v>26</v>
      </c>
      <c r="J19" s="26">
        <v>21</v>
      </c>
      <c r="K19" s="26">
        <v>17</v>
      </c>
      <c r="L19" s="26">
        <v>41</v>
      </c>
      <c r="M19" s="26">
        <v>7</v>
      </c>
      <c r="N19" s="18" t="s">
        <v>32</v>
      </c>
    </row>
    <row r="20" spans="1:14" x14ac:dyDescent="0.25">
      <c r="A20" s="18">
        <f t="shared" si="2"/>
        <v>331</v>
      </c>
      <c r="B20" s="24" t="s">
        <v>50</v>
      </c>
      <c r="C20" s="25">
        <f t="shared" si="3"/>
        <v>41704</v>
      </c>
      <c r="D20" s="18" t="str">
        <f t="shared" si="0"/>
        <v>J</v>
      </c>
      <c r="E20" s="19">
        <f t="shared" si="1"/>
        <v>10</v>
      </c>
      <c r="F20" s="26">
        <v>38</v>
      </c>
      <c r="G20" s="26">
        <v>33</v>
      </c>
      <c r="H20" s="26">
        <v>27</v>
      </c>
      <c r="I20" s="26">
        <v>41</v>
      </c>
      <c r="J20" s="26">
        <v>2</v>
      </c>
      <c r="K20" s="26">
        <v>12</v>
      </c>
      <c r="L20" s="26">
        <v>1</v>
      </c>
      <c r="M20" s="26">
        <v>5</v>
      </c>
      <c r="N20" s="18" t="s">
        <v>32</v>
      </c>
    </row>
    <row r="21" spans="1:14" x14ac:dyDescent="0.25">
      <c r="A21" s="18">
        <f t="shared" si="2"/>
        <v>332</v>
      </c>
      <c r="B21" s="24" t="s">
        <v>51</v>
      </c>
      <c r="C21" s="25">
        <f t="shared" si="3"/>
        <v>41706</v>
      </c>
      <c r="D21" s="18" t="str">
        <f t="shared" si="0"/>
        <v>S</v>
      </c>
      <c r="E21" s="19">
        <f t="shared" si="1"/>
        <v>10</v>
      </c>
      <c r="F21" s="26">
        <v>23</v>
      </c>
      <c r="G21" s="26">
        <v>43</v>
      </c>
      <c r="H21" s="26">
        <v>11</v>
      </c>
      <c r="I21" s="26">
        <v>31</v>
      </c>
      <c r="J21" s="26">
        <v>20</v>
      </c>
      <c r="K21" s="26">
        <v>28</v>
      </c>
      <c r="L21" s="26">
        <v>27</v>
      </c>
      <c r="M21" s="26">
        <v>7</v>
      </c>
      <c r="N21" s="18" t="s">
        <v>32</v>
      </c>
    </row>
    <row r="22" spans="1:14" x14ac:dyDescent="0.25">
      <c r="A22" s="18">
        <f t="shared" si="2"/>
        <v>333</v>
      </c>
      <c r="B22" s="24" t="s">
        <v>52</v>
      </c>
      <c r="C22" s="25">
        <f t="shared" si="3"/>
        <v>41711</v>
      </c>
      <c r="D22" s="18" t="str">
        <f t="shared" si="0"/>
        <v>J</v>
      </c>
      <c r="E22" s="19">
        <f t="shared" si="1"/>
        <v>11</v>
      </c>
      <c r="F22" s="26">
        <v>3</v>
      </c>
      <c r="G22" s="26">
        <v>12</v>
      </c>
      <c r="H22" s="26">
        <v>23</v>
      </c>
      <c r="I22" s="26">
        <v>25</v>
      </c>
      <c r="J22" s="26">
        <v>43</v>
      </c>
      <c r="K22" s="26">
        <v>22</v>
      </c>
      <c r="L22" s="26">
        <v>9</v>
      </c>
      <c r="M22" s="26">
        <v>1</v>
      </c>
      <c r="N22" s="18" t="s">
        <v>32</v>
      </c>
    </row>
    <row r="23" spans="1:14" x14ac:dyDescent="0.25">
      <c r="A23" s="18">
        <f t="shared" si="2"/>
        <v>334</v>
      </c>
      <c r="B23" s="24" t="s">
        <v>53</v>
      </c>
      <c r="C23" s="25">
        <f t="shared" si="3"/>
        <v>41713</v>
      </c>
      <c r="D23" s="18" t="str">
        <f t="shared" si="0"/>
        <v>S</v>
      </c>
      <c r="E23" s="19">
        <f t="shared" si="1"/>
        <v>11</v>
      </c>
      <c r="F23" s="26">
        <v>14</v>
      </c>
      <c r="G23" s="26">
        <v>20</v>
      </c>
      <c r="H23" s="26">
        <v>37</v>
      </c>
      <c r="I23" s="26">
        <v>13</v>
      </c>
      <c r="J23" s="26">
        <v>19</v>
      </c>
      <c r="K23" s="26">
        <v>5</v>
      </c>
      <c r="L23" s="26">
        <v>44</v>
      </c>
      <c r="M23" s="26">
        <v>1</v>
      </c>
      <c r="N23" s="18" t="s">
        <v>32</v>
      </c>
    </row>
    <row r="24" spans="1:14" x14ac:dyDescent="0.25">
      <c r="A24" s="18">
        <f t="shared" si="2"/>
        <v>335</v>
      </c>
      <c r="B24" s="24" t="s">
        <v>54</v>
      </c>
      <c r="C24" s="25">
        <f t="shared" si="3"/>
        <v>41718</v>
      </c>
      <c r="D24" s="18" t="str">
        <f t="shared" si="0"/>
        <v>J</v>
      </c>
      <c r="E24" s="19">
        <f t="shared" si="1"/>
        <v>12</v>
      </c>
      <c r="F24" s="26">
        <v>7</v>
      </c>
      <c r="G24" s="26">
        <v>49</v>
      </c>
      <c r="H24" s="26">
        <v>14</v>
      </c>
      <c r="I24" s="26">
        <v>4</v>
      </c>
      <c r="J24" s="26">
        <v>15</v>
      </c>
      <c r="K24" s="26">
        <v>12</v>
      </c>
      <c r="L24" s="26">
        <v>32</v>
      </c>
      <c r="M24" s="26">
        <v>6</v>
      </c>
      <c r="N24" s="18" t="s">
        <v>32</v>
      </c>
    </row>
    <row r="25" spans="1:14" x14ac:dyDescent="0.25">
      <c r="A25" s="18">
        <f t="shared" si="2"/>
        <v>336</v>
      </c>
      <c r="B25" s="24" t="s">
        <v>55</v>
      </c>
      <c r="C25" s="25">
        <f t="shared" si="3"/>
        <v>41720</v>
      </c>
      <c r="D25" s="18" t="str">
        <f t="shared" si="0"/>
        <v>S</v>
      </c>
      <c r="E25" s="19">
        <f t="shared" si="1"/>
        <v>12</v>
      </c>
      <c r="F25" s="26">
        <v>34</v>
      </c>
      <c r="G25" s="26">
        <v>12</v>
      </c>
      <c r="H25" s="26">
        <v>32</v>
      </c>
      <c r="I25" s="26">
        <v>27</v>
      </c>
      <c r="J25" s="26">
        <v>18</v>
      </c>
      <c r="K25" s="26">
        <v>7</v>
      </c>
      <c r="L25" s="26">
        <v>25</v>
      </c>
      <c r="M25" s="26">
        <v>6</v>
      </c>
      <c r="N25" s="18" t="s">
        <v>32</v>
      </c>
    </row>
    <row r="26" spans="1:14" x14ac:dyDescent="0.25">
      <c r="A26" s="18">
        <f t="shared" si="2"/>
        <v>337</v>
      </c>
      <c r="B26" s="24" t="s">
        <v>56</v>
      </c>
      <c r="C26" s="25">
        <f t="shared" si="3"/>
        <v>41725</v>
      </c>
      <c r="D26" s="18" t="str">
        <f t="shared" ref="D26:D89" si="4">CHOOSE(WEEKDAY(C26),"D","L","M","X","J","V","S")</f>
        <v>J</v>
      </c>
      <c r="E26" s="19">
        <f t="shared" ref="E26:E89" si="5">WEEKNUM(C26,21)</f>
        <v>13</v>
      </c>
      <c r="F26" s="26">
        <v>5</v>
      </c>
      <c r="G26" s="26">
        <v>32</v>
      </c>
      <c r="H26" s="26">
        <v>29</v>
      </c>
      <c r="I26" s="26">
        <v>11</v>
      </c>
      <c r="J26" s="26">
        <v>37</v>
      </c>
      <c r="K26" s="26">
        <v>22</v>
      </c>
      <c r="L26" s="26">
        <v>8</v>
      </c>
      <c r="M26" s="26">
        <v>4</v>
      </c>
      <c r="N26" s="18" t="s">
        <v>32</v>
      </c>
    </row>
    <row r="27" spans="1:14" x14ac:dyDescent="0.25">
      <c r="A27" s="18">
        <f t="shared" si="2"/>
        <v>338</v>
      </c>
      <c r="B27" s="24" t="s">
        <v>57</v>
      </c>
      <c r="C27" s="25">
        <f t="shared" si="3"/>
        <v>41727</v>
      </c>
      <c r="D27" s="18" t="str">
        <f t="shared" si="4"/>
        <v>S</v>
      </c>
      <c r="E27" s="19">
        <f t="shared" si="5"/>
        <v>13</v>
      </c>
      <c r="F27" s="26">
        <v>30</v>
      </c>
      <c r="G27" s="26">
        <v>14</v>
      </c>
      <c r="H27" s="26">
        <v>43</v>
      </c>
      <c r="I27" s="26">
        <v>6</v>
      </c>
      <c r="J27" s="26">
        <v>41</v>
      </c>
      <c r="K27" s="26">
        <v>49</v>
      </c>
      <c r="L27" s="26">
        <v>36</v>
      </c>
      <c r="M27" s="26">
        <v>6</v>
      </c>
      <c r="N27" s="18" t="s">
        <v>32</v>
      </c>
    </row>
    <row r="28" spans="1:14" x14ac:dyDescent="0.25">
      <c r="A28" s="18">
        <f t="shared" si="2"/>
        <v>339</v>
      </c>
      <c r="B28" s="24" t="s">
        <v>58</v>
      </c>
      <c r="C28" s="25">
        <f t="shared" si="3"/>
        <v>41732</v>
      </c>
      <c r="D28" s="18" t="str">
        <f t="shared" si="4"/>
        <v>J</v>
      </c>
      <c r="E28" s="19">
        <f t="shared" si="5"/>
        <v>14</v>
      </c>
      <c r="F28" s="26">
        <v>13</v>
      </c>
      <c r="G28" s="26">
        <v>18</v>
      </c>
      <c r="H28" s="26">
        <v>22</v>
      </c>
      <c r="I28" s="26">
        <v>41</v>
      </c>
      <c r="J28" s="26">
        <v>48</v>
      </c>
      <c r="K28" s="26">
        <v>15</v>
      </c>
      <c r="L28" s="26">
        <v>6</v>
      </c>
      <c r="M28" s="26">
        <v>8</v>
      </c>
      <c r="N28" s="18" t="s">
        <v>32</v>
      </c>
    </row>
    <row r="29" spans="1:14" x14ac:dyDescent="0.25">
      <c r="A29" s="18">
        <f t="shared" si="2"/>
        <v>340</v>
      </c>
      <c r="B29" s="24" t="s">
        <v>59</v>
      </c>
      <c r="C29" s="25">
        <f t="shared" si="3"/>
        <v>41734</v>
      </c>
      <c r="D29" s="18" t="str">
        <f t="shared" si="4"/>
        <v>S</v>
      </c>
      <c r="E29" s="19">
        <f t="shared" si="5"/>
        <v>14</v>
      </c>
      <c r="F29" s="26">
        <v>13</v>
      </c>
      <c r="G29" s="26">
        <v>9</v>
      </c>
      <c r="H29" s="26">
        <v>30</v>
      </c>
      <c r="I29" s="26">
        <v>45</v>
      </c>
      <c r="J29" s="26">
        <v>36</v>
      </c>
      <c r="K29" s="26">
        <v>37</v>
      </c>
      <c r="L29" s="26">
        <v>16</v>
      </c>
      <c r="M29" s="26">
        <v>6</v>
      </c>
      <c r="N29" s="18" t="s">
        <v>32</v>
      </c>
    </row>
    <row r="30" spans="1:14" x14ac:dyDescent="0.25">
      <c r="A30" s="18">
        <f t="shared" si="2"/>
        <v>341</v>
      </c>
      <c r="B30" s="24" t="s">
        <v>60</v>
      </c>
      <c r="C30" s="25">
        <f t="shared" si="3"/>
        <v>41739</v>
      </c>
      <c r="D30" s="18" t="str">
        <f t="shared" si="4"/>
        <v>J</v>
      </c>
      <c r="E30" s="19">
        <f t="shared" si="5"/>
        <v>15</v>
      </c>
      <c r="F30" s="26">
        <v>17</v>
      </c>
      <c r="G30" s="26">
        <v>24</v>
      </c>
      <c r="H30" s="26">
        <v>5</v>
      </c>
      <c r="I30" s="26">
        <v>6</v>
      </c>
      <c r="J30" s="26">
        <v>32</v>
      </c>
      <c r="K30" s="26">
        <v>12</v>
      </c>
      <c r="L30" s="26">
        <v>18</v>
      </c>
      <c r="M30" s="26">
        <v>4</v>
      </c>
      <c r="N30" s="18" t="s">
        <v>32</v>
      </c>
    </row>
    <row r="31" spans="1:14" x14ac:dyDescent="0.25">
      <c r="A31" s="18">
        <f t="shared" si="2"/>
        <v>342</v>
      </c>
      <c r="B31" s="24" t="s">
        <v>61</v>
      </c>
      <c r="C31" s="25">
        <f t="shared" si="3"/>
        <v>41741</v>
      </c>
      <c r="D31" s="18" t="str">
        <f t="shared" si="4"/>
        <v>S</v>
      </c>
      <c r="E31" s="19">
        <f t="shared" si="5"/>
        <v>15</v>
      </c>
      <c r="F31" s="26">
        <v>27</v>
      </c>
      <c r="G31" s="26">
        <v>22</v>
      </c>
      <c r="H31" s="26">
        <v>24</v>
      </c>
      <c r="I31" s="26">
        <v>19</v>
      </c>
      <c r="J31" s="26">
        <v>13</v>
      </c>
      <c r="K31" s="26">
        <v>4</v>
      </c>
      <c r="L31" s="26">
        <v>1</v>
      </c>
      <c r="M31" s="26">
        <v>5</v>
      </c>
      <c r="N31" s="18" t="s">
        <v>32</v>
      </c>
    </row>
    <row r="32" spans="1:14" x14ac:dyDescent="0.25">
      <c r="A32" s="18">
        <f t="shared" si="2"/>
        <v>343</v>
      </c>
      <c r="B32" s="24" t="s">
        <v>62</v>
      </c>
      <c r="C32" s="25">
        <f t="shared" si="3"/>
        <v>41746</v>
      </c>
      <c r="D32" s="18" t="str">
        <f t="shared" si="4"/>
        <v>J</v>
      </c>
      <c r="E32" s="19">
        <f t="shared" si="5"/>
        <v>16</v>
      </c>
      <c r="F32" s="26">
        <v>9</v>
      </c>
      <c r="G32" s="26">
        <v>14</v>
      </c>
      <c r="H32" s="26">
        <v>23</v>
      </c>
      <c r="I32" s="26">
        <v>11</v>
      </c>
      <c r="J32" s="26">
        <v>28</v>
      </c>
      <c r="K32" s="26">
        <v>47</v>
      </c>
      <c r="L32" s="26">
        <v>15</v>
      </c>
      <c r="M32" s="26">
        <v>6</v>
      </c>
      <c r="N32" s="18" t="s">
        <v>32</v>
      </c>
    </row>
    <row r="33" spans="1:14" x14ac:dyDescent="0.25">
      <c r="A33" s="18">
        <f t="shared" si="2"/>
        <v>344</v>
      </c>
      <c r="B33" s="24" t="s">
        <v>63</v>
      </c>
      <c r="C33" s="25">
        <f t="shared" si="3"/>
        <v>41748</v>
      </c>
      <c r="D33" s="18" t="str">
        <f t="shared" si="4"/>
        <v>S</v>
      </c>
      <c r="E33" s="19">
        <f t="shared" si="5"/>
        <v>16</v>
      </c>
      <c r="F33" s="26">
        <v>17</v>
      </c>
      <c r="G33" s="26">
        <v>40</v>
      </c>
      <c r="H33" s="26">
        <v>45</v>
      </c>
      <c r="I33" s="26">
        <v>29</v>
      </c>
      <c r="J33" s="26">
        <v>11</v>
      </c>
      <c r="K33" s="26">
        <v>27</v>
      </c>
      <c r="L33" s="26">
        <v>44</v>
      </c>
      <c r="M33" s="26">
        <v>6</v>
      </c>
      <c r="N33" s="18" t="s">
        <v>32</v>
      </c>
    </row>
    <row r="34" spans="1:14" x14ac:dyDescent="0.25">
      <c r="A34" s="18">
        <f t="shared" si="2"/>
        <v>345</v>
      </c>
      <c r="B34" s="24" t="s">
        <v>64</v>
      </c>
      <c r="C34" s="25">
        <f t="shared" si="3"/>
        <v>41753</v>
      </c>
      <c r="D34" s="18" t="str">
        <f t="shared" si="4"/>
        <v>J</v>
      </c>
      <c r="E34" s="19">
        <f t="shared" si="5"/>
        <v>17</v>
      </c>
      <c r="F34" s="26">
        <v>26</v>
      </c>
      <c r="G34" s="26">
        <v>12</v>
      </c>
      <c r="H34" s="26">
        <v>42</v>
      </c>
      <c r="I34" s="26">
        <v>48</v>
      </c>
      <c r="J34" s="26">
        <v>3</v>
      </c>
      <c r="K34" s="26">
        <v>19</v>
      </c>
      <c r="L34" s="26">
        <v>22</v>
      </c>
      <c r="M34" s="26">
        <v>7</v>
      </c>
      <c r="N34" s="18" t="s">
        <v>32</v>
      </c>
    </row>
    <row r="35" spans="1:14" x14ac:dyDescent="0.25">
      <c r="A35" s="18">
        <f t="shared" si="2"/>
        <v>346</v>
      </c>
      <c r="B35" s="24" t="s">
        <v>65</v>
      </c>
      <c r="C35" s="25">
        <f t="shared" si="3"/>
        <v>41755</v>
      </c>
      <c r="D35" s="18" t="str">
        <f t="shared" si="4"/>
        <v>S</v>
      </c>
      <c r="E35" s="19">
        <f t="shared" si="5"/>
        <v>17</v>
      </c>
      <c r="F35" s="26">
        <v>9</v>
      </c>
      <c r="G35" s="26">
        <v>18</v>
      </c>
      <c r="H35" s="26">
        <v>1</v>
      </c>
      <c r="I35" s="26">
        <v>38</v>
      </c>
      <c r="J35" s="26">
        <v>2</v>
      </c>
      <c r="K35" s="26">
        <v>48</v>
      </c>
      <c r="L35" s="26">
        <v>6</v>
      </c>
      <c r="M35" s="26">
        <v>0</v>
      </c>
      <c r="N35" s="18" t="s">
        <v>32</v>
      </c>
    </row>
    <row r="36" spans="1:14" x14ac:dyDescent="0.25">
      <c r="A36" s="18">
        <f t="shared" si="2"/>
        <v>347</v>
      </c>
      <c r="B36" s="24" t="s">
        <v>66</v>
      </c>
      <c r="C36" s="25">
        <f t="shared" si="3"/>
        <v>41760</v>
      </c>
      <c r="D36" s="18" t="str">
        <f t="shared" si="4"/>
        <v>J</v>
      </c>
      <c r="E36" s="19">
        <f t="shared" si="5"/>
        <v>18</v>
      </c>
      <c r="F36" s="26">
        <v>44</v>
      </c>
      <c r="G36" s="26">
        <v>33</v>
      </c>
      <c r="H36" s="26">
        <v>9</v>
      </c>
      <c r="I36" s="26">
        <v>27</v>
      </c>
      <c r="J36" s="26">
        <v>23</v>
      </c>
      <c r="K36" s="26">
        <v>38</v>
      </c>
      <c r="L36" s="26">
        <v>37</v>
      </c>
      <c r="M36" s="26">
        <v>9</v>
      </c>
      <c r="N36" s="18" t="s">
        <v>32</v>
      </c>
    </row>
    <row r="37" spans="1:14" x14ac:dyDescent="0.25">
      <c r="A37" s="18">
        <f t="shared" si="2"/>
        <v>348</v>
      </c>
      <c r="B37" s="24" t="s">
        <v>67</v>
      </c>
      <c r="C37" s="25">
        <f t="shared" si="3"/>
        <v>41762</v>
      </c>
      <c r="D37" s="18" t="str">
        <f t="shared" si="4"/>
        <v>S</v>
      </c>
      <c r="E37" s="19">
        <f t="shared" si="5"/>
        <v>18</v>
      </c>
      <c r="F37" s="26">
        <v>4</v>
      </c>
      <c r="G37" s="26">
        <v>14</v>
      </c>
      <c r="H37" s="26">
        <v>5</v>
      </c>
      <c r="I37" s="26">
        <v>45</v>
      </c>
      <c r="J37" s="26">
        <v>16</v>
      </c>
      <c r="K37" s="26">
        <v>49</v>
      </c>
      <c r="L37" s="26">
        <v>37</v>
      </c>
      <c r="M37" s="26">
        <v>1</v>
      </c>
      <c r="N37" s="18" t="s">
        <v>32</v>
      </c>
    </row>
    <row r="38" spans="1:14" x14ac:dyDescent="0.25">
      <c r="A38" s="18">
        <f t="shared" si="2"/>
        <v>349</v>
      </c>
      <c r="B38" s="24" t="s">
        <v>68</v>
      </c>
      <c r="C38" s="25">
        <f t="shared" ref="C38:C69" si="6">C36+7</f>
        <v>41767</v>
      </c>
      <c r="D38" s="18" t="str">
        <f t="shared" si="4"/>
        <v>J</v>
      </c>
      <c r="E38" s="19">
        <f t="shared" si="5"/>
        <v>19</v>
      </c>
      <c r="F38" s="26">
        <v>14</v>
      </c>
      <c r="G38" s="26">
        <v>11</v>
      </c>
      <c r="H38" s="26">
        <v>26</v>
      </c>
      <c r="I38" s="26">
        <v>38</v>
      </c>
      <c r="J38" s="26">
        <v>22</v>
      </c>
      <c r="K38" s="26">
        <v>44</v>
      </c>
      <c r="L38" s="26">
        <v>42</v>
      </c>
      <c r="M38" s="26">
        <v>0</v>
      </c>
      <c r="N38" s="18" t="s">
        <v>32</v>
      </c>
    </row>
    <row r="39" spans="1:14" x14ac:dyDescent="0.25">
      <c r="A39" s="18">
        <f t="shared" si="2"/>
        <v>350</v>
      </c>
      <c r="B39" s="24" t="s">
        <v>69</v>
      </c>
      <c r="C39" s="25">
        <f t="shared" si="6"/>
        <v>41769</v>
      </c>
      <c r="D39" s="18" t="str">
        <f t="shared" si="4"/>
        <v>S</v>
      </c>
      <c r="E39" s="19">
        <f t="shared" si="5"/>
        <v>19</v>
      </c>
      <c r="F39" s="26">
        <v>37</v>
      </c>
      <c r="G39" s="26">
        <v>33</v>
      </c>
      <c r="H39" s="26">
        <v>15</v>
      </c>
      <c r="I39" s="26">
        <v>17</v>
      </c>
      <c r="J39" s="26">
        <v>23</v>
      </c>
      <c r="K39" s="26">
        <v>5</v>
      </c>
      <c r="L39" s="26">
        <v>16</v>
      </c>
      <c r="M39" s="26">
        <v>6</v>
      </c>
      <c r="N39" s="18" t="s">
        <v>32</v>
      </c>
    </row>
    <row r="40" spans="1:14" x14ac:dyDescent="0.25">
      <c r="A40" s="18">
        <f t="shared" si="2"/>
        <v>351</v>
      </c>
      <c r="B40" s="24" t="s">
        <v>70</v>
      </c>
      <c r="C40" s="25">
        <f t="shared" si="6"/>
        <v>41774</v>
      </c>
      <c r="D40" s="18" t="str">
        <f t="shared" si="4"/>
        <v>J</v>
      </c>
      <c r="E40" s="19">
        <f t="shared" si="5"/>
        <v>20</v>
      </c>
      <c r="F40" s="26">
        <v>28</v>
      </c>
      <c r="G40" s="26">
        <v>14</v>
      </c>
      <c r="H40" s="26">
        <v>3</v>
      </c>
      <c r="I40" s="26">
        <v>18</v>
      </c>
      <c r="J40" s="26">
        <v>45</v>
      </c>
      <c r="K40" s="26">
        <v>23</v>
      </c>
      <c r="L40" s="26">
        <v>37</v>
      </c>
      <c r="M40" s="26">
        <v>0</v>
      </c>
      <c r="N40" s="18" t="s">
        <v>32</v>
      </c>
    </row>
    <row r="41" spans="1:14" x14ac:dyDescent="0.25">
      <c r="A41" s="18">
        <f t="shared" si="2"/>
        <v>352</v>
      </c>
      <c r="B41" s="24" t="s">
        <v>71</v>
      </c>
      <c r="C41" s="25">
        <f t="shared" si="6"/>
        <v>41776</v>
      </c>
      <c r="D41" s="18" t="str">
        <f t="shared" si="4"/>
        <v>S</v>
      </c>
      <c r="E41" s="19">
        <f t="shared" si="5"/>
        <v>20</v>
      </c>
      <c r="F41" s="26">
        <v>7</v>
      </c>
      <c r="G41" s="26">
        <v>3</v>
      </c>
      <c r="H41" s="26">
        <v>37</v>
      </c>
      <c r="I41" s="26">
        <v>47</v>
      </c>
      <c r="J41" s="26">
        <v>49</v>
      </c>
      <c r="K41" s="26">
        <v>33</v>
      </c>
      <c r="L41" s="26">
        <v>6</v>
      </c>
      <c r="M41" s="26">
        <v>1</v>
      </c>
      <c r="N41" s="18" t="s">
        <v>32</v>
      </c>
    </row>
    <row r="42" spans="1:14" x14ac:dyDescent="0.25">
      <c r="A42" s="18">
        <f t="shared" si="2"/>
        <v>353</v>
      </c>
      <c r="B42" s="24" t="s">
        <v>72</v>
      </c>
      <c r="C42" s="25">
        <f t="shared" si="6"/>
        <v>41781</v>
      </c>
      <c r="D42" s="18" t="str">
        <f t="shared" si="4"/>
        <v>J</v>
      </c>
      <c r="E42" s="19">
        <f t="shared" si="5"/>
        <v>21</v>
      </c>
      <c r="F42" s="26">
        <v>36</v>
      </c>
      <c r="G42" s="26">
        <v>13</v>
      </c>
      <c r="H42" s="26">
        <v>22</v>
      </c>
      <c r="I42" s="26">
        <v>7</v>
      </c>
      <c r="J42" s="26">
        <v>26</v>
      </c>
      <c r="K42" s="26">
        <v>49</v>
      </c>
      <c r="L42" s="26">
        <v>15</v>
      </c>
      <c r="M42" s="26">
        <v>7</v>
      </c>
      <c r="N42" s="18" t="s">
        <v>32</v>
      </c>
    </row>
    <row r="43" spans="1:14" x14ac:dyDescent="0.25">
      <c r="A43" s="18">
        <f t="shared" si="2"/>
        <v>354</v>
      </c>
      <c r="B43" s="24" t="s">
        <v>73</v>
      </c>
      <c r="C43" s="25">
        <f t="shared" si="6"/>
        <v>41783</v>
      </c>
      <c r="D43" s="18" t="str">
        <f t="shared" si="4"/>
        <v>S</v>
      </c>
      <c r="E43" s="19">
        <f t="shared" si="5"/>
        <v>21</v>
      </c>
      <c r="F43" s="26">
        <v>47</v>
      </c>
      <c r="G43" s="26">
        <v>36</v>
      </c>
      <c r="H43" s="26">
        <v>33</v>
      </c>
      <c r="I43" s="26">
        <v>38</v>
      </c>
      <c r="J43" s="26">
        <v>21</v>
      </c>
      <c r="K43" s="26">
        <v>45</v>
      </c>
      <c r="L43" s="26">
        <v>8</v>
      </c>
      <c r="M43" s="26">
        <v>4</v>
      </c>
      <c r="N43" s="18" t="s">
        <v>32</v>
      </c>
    </row>
    <row r="44" spans="1:14" x14ac:dyDescent="0.25">
      <c r="A44" s="18">
        <f t="shared" si="2"/>
        <v>355</v>
      </c>
      <c r="B44" s="24" t="s">
        <v>74</v>
      </c>
      <c r="C44" s="25">
        <f t="shared" si="6"/>
        <v>41788</v>
      </c>
      <c r="D44" s="18" t="str">
        <f t="shared" si="4"/>
        <v>J</v>
      </c>
      <c r="E44" s="19">
        <f t="shared" si="5"/>
        <v>22</v>
      </c>
      <c r="F44" s="26">
        <v>49</v>
      </c>
      <c r="G44" s="26">
        <v>12</v>
      </c>
      <c r="H44" s="26">
        <v>5</v>
      </c>
      <c r="I44" s="26">
        <v>3</v>
      </c>
      <c r="J44" s="26">
        <v>46</v>
      </c>
      <c r="K44" s="26">
        <v>34</v>
      </c>
      <c r="L44" s="26">
        <v>27</v>
      </c>
      <c r="M44" s="26">
        <v>3</v>
      </c>
      <c r="N44" s="18" t="s">
        <v>32</v>
      </c>
    </row>
    <row r="45" spans="1:14" x14ac:dyDescent="0.25">
      <c r="A45" s="18">
        <f t="shared" si="2"/>
        <v>356</v>
      </c>
      <c r="B45" s="24" t="s">
        <v>75</v>
      </c>
      <c r="C45" s="25">
        <f t="shared" si="6"/>
        <v>41790</v>
      </c>
      <c r="D45" s="18" t="str">
        <f t="shared" si="4"/>
        <v>S</v>
      </c>
      <c r="E45" s="19">
        <f t="shared" si="5"/>
        <v>22</v>
      </c>
      <c r="F45" s="26">
        <v>42</v>
      </c>
      <c r="G45" s="26">
        <v>30</v>
      </c>
      <c r="H45" s="26">
        <v>4</v>
      </c>
      <c r="I45" s="26">
        <v>12</v>
      </c>
      <c r="J45" s="26">
        <v>43</v>
      </c>
      <c r="K45" s="26">
        <v>14</v>
      </c>
      <c r="L45" s="26">
        <v>36</v>
      </c>
      <c r="M45" s="26">
        <v>5</v>
      </c>
      <c r="N45" s="18" t="s">
        <v>32</v>
      </c>
    </row>
    <row r="46" spans="1:14" x14ac:dyDescent="0.25">
      <c r="A46" s="18">
        <f t="shared" si="2"/>
        <v>357</v>
      </c>
      <c r="B46" s="24" t="s">
        <v>76</v>
      </c>
      <c r="C46" s="25">
        <f t="shared" si="6"/>
        <v>41795</v>
      </c>
      <c r="D46" s="18" t="str">
        <f t="shared" si="4"/>
        <v>J</v>
      </c>
      <c r="E46" s="19">
        <f t="shared" si="5"/>
        <v>23</v>
      </c>
      <c r="F46" s="26">
        <v>16</v>
      </c>
      <c r="G46" s="26">
        <v>19</v>
      </c>
      <c r="H46" s="26">
        <v>20</v>
      </c>
      <c r="I46" s="26">
        <v>48</v>
      </c>
      <c r="J46" s="26">
        <v>10</v>
      </c>
      <c r="K46" s="26">
        <v>15</v>
      </c>
      <c r="L46" s="26">
        <v>28</v>
      </c>
      <c r="M46" s="26">
        <v>7</v>
      </c>
      <c r="N46" s="18" t="s">
        <v>32</v>
      </c>
    </row>
    <row r="47" spans="1:14" x14ac:dyDescent="0.25">
      <c r="A47" s="18">
        <f t="shared" si="2"/>
        <v>358</v>
      </c>
      <c r="B47" s="24" t="s">
        <v>77</v>
      </c>
      <c r="C47" s="25">
        <f t="shared" si="6"/>
        <v>41797</v>
      </c>
      <c r="D47" s="18" t="str">
        <f t="shared" si="4"/>
        <v>S</v>
      </c>
      <c r="E47" s="19">
        <f t="shared" si="5"/>
        <v>23</v>
      </c>
      <c r="F47" s="26">
        <v>22</v>
      </c>
      <c r="G47" s="26">
        <v>19</v>
      </c>
      <c r="H47" s="26">
        <v>17</v>
      </c>
      <c r="I47" s="26">
        <v>29</v>
      </c>
      <c r="J47" s="26">
        <v>20</v>
      </c>
      <c r="K47" s="26">
        <v>13</v>
      </c>
      <c r="L47" s="26">
        <v>25</v>
      </c>
      <c r="M47" s="26">
        <v>1</v>
      </c>
      <c r="N47" s="18" t="s">
        <v>32</v>
      </c>
    </row>
    <row r="48" spans="1:14" x14ac:dyDescent="0.25">
      <c r="A48" s="18">
        <f t="shared" si="2"/>
        <v>359</v>
      </c>
      <c r="B48" s="24" t="s">
        <v>78</v>
      </c>
      <c r="C48" s="25">
        <f t="shared" si="6"/>
        <v>41802</v>
      </c>
      <c r="D48" s="18" t="str">
        <f t="shared" si="4"/>
        <v>J</v>
      </c>
      <c r="E48" s="19">
        <f t="shared" si="5"/>
        <v>24</v>
      </c>
      <c r="F48" s="26">
        <v>47</v>
      </c>
      <c r="G48" s="26">
        <v>32</v>
      </c>
      <c r="H48" s="26">
        <v>31</v>
      </c>
      <c r="I48" s="26">
        <v>24</v>
      </c>
      <c r="J48" s="26">
        <v>30</v>
      </c>
      <c r="K48" s="26">
        <v>43</v>
      </c>
      <c r="L48" s="26">
        <v>7</v>
      </c>
      <c r="M48" s="26">
        <v>9</v>
      </c>
      <c r="N48" s="18" t="s">
        <v>32</v>
      </c>
    </row>
    <row r="49" spans="1:14" x14ac:dyDescent="0.25">
      <c r="A49" s="18">
        <f t="shared" si="2"/>
        <v>360</v>
      </c>
      <c r="B49" s="24" t="s">
        <v>79</v>
      </c>
      <c r="C49" s="25">
        <f t="shared" si="6"/>
        <v>41804</v>
      </c>
      <c r="D49" s="18" t="str">
        <f t="shared" si="4"/>
        <v>S</v>
      </c>
      <c r="E49" s="19">
        <f t="shared" si="5"/>
        <v>24</v>
      </c>
      <c r="F49" s="26">
        <v>40</v>
      </c>
      <c r="G49" s="26">
        <v>6</v>
      </c>
      <c r="H49" s="26">
        <v>41</v>
      </c>
      <c r="I49" s="26">
        <v>43</v>
      </c>
      <c r="J49" s="26">
        <v>19</v>
      </c>
      <c r="K49" s="26">
        <v>5</v>
      </c>
      <c r="L49" s="26">
        <v>26</v>
      </c>
      <c r="M49" s="26">
        <v>0</v>
      </c>
      <c r="N49" s="18" t="s">
        <v>32</v>
      </c>
    </row>
    <row r="50" spans="1:14" x14ac:dyDescent="0.25">
      <c r="A50" s="18">
        <f t="shared" si="2"/>
        <v>361</v>
      </c>
      <c r="B50" s="24" t="s">
        <v>80</v>
      </c>
      <c r="C50" s="25">
        <f t="shared" si="6"/>
        <v>41809</v>
      </c>
      <c r="D50" s="18" t="str">
        <f t="shared" si="4"/>
        <v>J</v>
      </c>
      <c r="E50" s="19">
        <f t="shared" si="5"/>
        <v>25</v>
      </c>
      <c r="F50" s="26">
        <v>9</v>
      </c>
      <c r="G50" s="26">
        <v>8</v>
      </c>
      <c r="H50" s="26">
        <v>12</v>
      </c>
      <c r="I50" s="26">
        <v>44</v>
      </c>
      <c r="J50" s="26">
        <v>2</v>
      </c>
      <c r="K50" s="26">
        <v>47</v>
      </c>
      <c r="L50" s="26">
        <v>36</v>
      </c>
      <c r="M50" s="26">
        <v>9</v>
      </c>
      <c r="N50" s="18" t="s">
        <v>32</v>
      </c>
    </row>
    <row r="51" spans="1:14" x14ac:dyDescent="0.25">
      <c r="A51" s="18">
        <f t="shared" si="2"/>
        <v>362</v>
      </c>
      <c r="B51" s="24" t="s">
        <v>81</v>
      </c>
      <c r="C51" s="25">
        <f t="shared" si="6"/>
        <v>41811</v>
      </c>
      <c r="D51" s="18" t="str">
        <f t="shared" si="4"/>
        <v>S</v>
      </c>
      <c r="E51" s="19">
        <f t="shared" si="5"/>
        <v>25</v>
      </c>
      <c r="F51" s="26">
        <v>39</v>
      </c>
      <c r="G51" s="26">
        <v>3</v>
      </c>
      <c r="H51" s="26">
        <v>6</v>
      </c>
      <c r="I51" s="26">
        <v>49</v>
      </c>
      <c r="J51" s="26">
        <v>36</v>
      </c>
      <c r="K51" s="26">
        <v>35</v>
      </c>
      <c r="L51" s="26">
        <v>24</v>
      </c>
      <c r="M51" s="26">
        <v>8</v>
      </c>
      <c r="N51" s="18" t="s">
        <v>32</v>
      </c>
    </row>
    <row r="52" spans="1:14" x14ac:dyDescent="0.25">
      <c r="A52" s="18">
        <f t="shared" si="2"/>
        <v>363</v>
      </c>
      <c r="B52" s="24" t="s">
        <v>82</v>
      </c>
      <c r="C52" s="25">
        <f t="shared" si="6"/>
        <v>41816</v>
      </c>
      <c r="D52" s="18" t="str">
        <f t="shared" si="4"/>
        <v>J</v>
      </c>
      <c r="E52" s="19">
        <f t="shared" si="5"/>
        <v>26</v>
      </c>
      <c r="F52" s="26">
        <v>49</v>
      </c>
      <c r="G52" s="26">
        <v>17</v>
      </c>
      <c r="H52" s="26">
        <v>41</v>
      </c>
      <c r="I52" s="26">
        <v>5</v>
      </c>
      <c r="J52" s="26">
        <v>14</v>
      </c>
      <c r="K52" s="26">
        <v>42</v>
      </c>
      <c r="L52" s="26">
        <v>2</v>
      </c>
      <c r="M52" s="26">
        <v>4</v>
      </c>
      <c r="N52" s="18" t="s">
        <v>32</v>
      </c>
    </row>
    <row r="53" spans="1:14" x14ac:dyDescent="0.25">
      <c r="A53" s="18">
        <f t="shared" si="2"/>
        <v>364</v>
      </c>
      <c r="B53" s="24" t="s">
        <v>83</v>
      </c>
      <c r="C53" s="25">
        <f t="shared" si="6"/>
        <v>41818</v>
      </c>
      <c r="D53" s="18" t="str">
        <f t="shared" si="4"/>
        <v>S</v>
      </c>
      <c r="E53" s="19">
        <f t="shared" si="5"/>
        <v>26</v>
      </c>
      <c r="F53" s="26">
        <v>18</v>
      </c>
      <c r="G53" s="26">
        <v>30</v>
      </c>
      <c r="H53" s="26">
        <v>45</v>
      </c>
      <c r="I53" s="26">
        <v>46</v>
      </c>
      <c r="J53" s="26">
        <v>15</v>
      </c>
      <c r="K53" s="26">
        <v>39</v>
      </c>
      <c r="L53" s="26">
        <v>41</v>
      </c>
      <c r="M53" s="26">
        <v>9</v>
      </c>
      <c r="N53" s="18" t="s">
        <v>32</v>
      </c>
    </row>
    <row r="54" spans="1:14" x14ac:dyDescent="0.25">
      <c r="A54" s="18">
        <f t="shared" si="2"/>
        <v>365</v>
      </c>
      <c r="B54" s="24" t="s">
        <v>84</v>
      </c>
      <c r="C54" s="25">
        <f t="shared" si="6"/>
        <v>41823</v>
      </c>
      <c r="D54" s="18" t="str">
        <f t="shared" si="4"/>
        <v>J</v>
      </c>
      <c r="E54" s="19">
        <f t="shared" si="5"/>
        <v>27</v>
      </c>
      <c r="F54" s="26">
        <v>15</v>
      </c>
      <c r="G54" s="26">
        <v>39</v>
      </c>
      <c r="H54" s="26">
        <v>6</v>
      </c>
      <c r="I54" s="26">
        <v>7</v>
      </c>
      <c r="J54" s="26">
        <v>1</v>
      </c>
      <c r="K54" s="26">
        <v>35</v>
      </c>
      <c r="L54" s="26">
        <v>44</v>
      </c>
      <c r="M54" s="26">
        <v>0</v>
      </c>
      <c r="N54" s="18" t="s">
        <v>32</v>
      </c>
    </row>
    <row r="55" spans="1:14" x14ac:dyDescent="0.25">
      <c r="A55" s="18">
        <f t="shared" si="2"/>
        <v>366</v>
      </c>
      <c r="B55" s="24" t="s">
        <v>85</v>
      </c>
      <c r="C55" s="25">
        <f t="shared" si="6"/>
        <v>41825</v>
      </c>
      <c r="D55" s="18" t="str">
        <f t="shared" si="4"/>
        <v>S</v>
      </c>
      <c r="E55" s="19">
        <f t="shared" si="5"/>
        <v>27</v>
      </c>
      <c r="F55" s="26">
        <v>14</v>
      </c>
      <c r="G55" s="26">
        <v>3</v>
      </c>
      <c r="H55" s="26">
        <v>45</v>
      </c>
      <c r="I55" s="26">
        <v>6</v>
      </c>
      <c r="J55" s="26">
        <v>41</v>
      </c>
      <c r="K55" s="26">
        <v>43</v>
      </c>
      <c r="L55" s="26">
        <v>10</v>
      </c>
      <c r="M55" s="26">
        <v>1</v>
      </c>
      <c r="N55" s="18" t="s">
        <v>32</v>
      </c>
    </row>
    <row r="56" spans="1:14" x14ac:dyDescent="0.25">
      <c r="A56" s="18">
        <f t="shared" si="2"/>
        <v>367</v>
      </c>
      <c r="B56" s="24" t="s">
        <v>86</v>
      </c>
      <c r="C56" s="25">
        <f t="shared" si="6"/>
        <v>41830</v>
      </c>
      <c r="D56" s="18" t="str">
        <f t="shared" si="4"/>
        <v>J</v>
      </c>
      <c r="E56" s="19">
        <f t="shared" si="5"/>
        <v>28</v>
      </c>
      <c r="F56" s="26">
        <v>29</v>
      </c>
      <c r="G56" s="26">
        <v>18</v>
      </c>
      <c r="H56" s="26">
        <v>17</v>
      </c>
      <c r="I56" s="26">
        <v>40</v>
      </c>
      <c r="J56" s="26">
        <v>11</v>
      </c>
      <c r="K56" s="26">
        <v>38</v>
      </c>
      <c r="L56" s="26">
        <v>24</v>
      </c>
      <c r="M56" s="26">
        <v>1</v>
      </c>
      <c r="N56" s="18" t="s">
        <v>32</v>
      </c>
    </row>
    <row r="57" spans="1:14" x14ac:dyDescent="0.25">
      <c r="A57" s="18">
        <f t="shared" si="2"/>
        <v>368</v>
      </c>
      <c r="B57" s="24" t="s">
        <v>87</v>
      </c>
      <c r="C57" s="25">
        <f t="shared" si="6"/>
        <v>41832</v>
      </c>
      <c r="D57" s="18" t="str">
        <f t="shared" si="4"/>
        <v>S</v>
      </c>
      <c r="E57" s="19">
        <f t="shared" si="5"/>
        <v>28</v>
      </c>
      <c r="F57" s="26">
        <v>27</v>
      </c>
      <c r="G57" s="26">
        <v>43</v>
      </c>
      <c r="H57" s="26">
        <v>12</v>
      </c>
      <c r="I57" s="26">
        <v>20</v>
      </c>
      <c r="J57" s="26">
        <v>11</v>
      </c>
      <c r="K57" s="26">
        <v>9</v>
      </c>
      <c r="L57" s="26">
        <v>34</v>
      </c>
      <c r="M57" s="26">
        <v>6</v>
      </c>
      <c r="N57" s="18" t="s">
        <v>32</v>
      </c>
    </row>
    <row r="58" spans="1:14" x14ac:dyDescent="0.25">
      <c r="A58" s="18">
        <f t="shared" si="2"/>
        <v>369</v>
      </c>
      <c r="B58" s="24" t="s">
        <v>88</v>
      </c>
      <c r="C58" s="25">
        <f t="shared" si="6"/>
        <v>41837</v>
      </c>
      <c r="D58" s="18" t="str">
        <f t="shared" si="4"/>
        <v>J</v>
      </c>
      <c r="E58" s="19">
        <f t="shared" si="5"/>
        <v>29</v>
      </c>
      <c r="F58" s="26">
        <v>23</v>
      </c>
      <c r="G58" s="26">
        <v>37</v>
      </c>
      <c r="H58" s="26">
        <v>4</v>
      </c>
      <c r="I58" s="26">
        <v>28</v>
      </c>
      <c r="J58" s="26">
        <v>26</v>
      </c>
      <c r="K58" s="26">
        <v>18</v>
      </c>
      <c r="L58" s="26">
        <v>21</v>
      </c>
      <c r="M58" s="26">
        <v>1</v>
      </c>
      <c r="N58" s="18" t="s">
        <v>32</v>
      </c>
    </row>
    <row r="59" spans="1:14" x14ac:dyDescent="0.25">
      <c r="A59" s="18">
        <f t="shared" si="2"/>
        <v>370</v>
      </c>
      <c r="B59" s="24" t="s">
        <v>89</v>
      </c>
      <c r="C59" s="25">
        <f t="shared" si="6"/>
        <v>41839</v>
      </c>
      <c r="D59" s="18" t="str">
        <f t="shared" si="4"/>
        <v>S</v>
      </c>
      <c r="E59" s="19">
        <f t="shared" si="5"/>
        <v>29</v>
      </c>
      <c r="F59" s="26">
        <v>47</v>
      </c>
      <c r="G59" s="26">
        <v>12</v>
      </c>
      <c r="H59" s="26">
        <v>37</v>
      </c>
      <c r="I59" s="26">
        <v>3</v>
      </c>
      <c r="J59" s="26">
        <v>21</v>
      </c>
      <c r="K59" s="26">
        <v>42</v>
      </c>
      <c r="L59" s="26">
        <v>38</v>
      </c>
      <c r="M59" s="26">
        <v>3</v>
      </c>
      <c r="N59" s="18" t="s">
        <v>32</v>
      </c>
    </row>
    <row r="60" spans="1:14" x14ac:dyDescent="0.25">
      <c r="A60" s="18">
        <f t="shared" si="2"/>
        <v>371</v>
      </c>
      <c r="B60" s="24" t="s">
        <v>90</v>
      </c>
      <c r="C60" s="25">
        <f t="shared" si="6"/>
        <v>41844</v>
      </c>
      <c r="D60" s="18" t="str">
        <f t="shared" si="4"/>
        <v>J</v>
      </c>
      <c r="E60" s="19">
        <f t="shared" si="5"/>
        <v>30</v>
      </c>
      <c r="F60" s="26">
        <v>33</v>
      </c>
      <c r="G60" s="26">
        <v>10</v>
      </c>
      <c r="H60" s="26">
        <v>26</v>
      </c>
      <c r="I60" s="26">
        <v>47</v>
      </c>
      <c r="J60" s="26">
        <v>34</v>
      </c>
      <c r="K60" s="26">
        <v>21</v>
      </c>
      <c r="L60" s="26">
        <v>36</v>
      </c>
      <c r="M60" s="26">
        <v>4</v>
      </c>
      <c r="N60" s="18" t="s">
        <v>32</v>
      </c>
    </row>
    <row r="61" spans="1:14" x14ac:dyDescent="0.25">
      <c r="A61" s="18">
        <f t="shared" si="2"/>
        <v>372</v>
      </c>
      <c r="B61" s="24" t="s">
        <v>91</v>
      </c>
      <c r="C61" s="25">
        <f t="shared" si="6"/>
        <v>41846</v>
      </c>
      <c r="D61" s="18" t="str">
        <f t="shared" si="4"/>
        <v>S</v>
      </c>
      <c r="E61" s="19">
        <f t="shared" si="5"/>
        <v>30</v>
      </c>
      <c r="F61" s="26">
        <v>2</v>
      </c>
      <c r="G61" s="26">
        <v>6</v>
      </c>
      <c r="H61" s="26">
        <v>9</v>
      </c>
      <c r="I61" s="26">
        <v>17</v>
      </c>
      <c r="J61" s="26">
        <v>45</v>
      </c>
      <c r="K61" s="26">
        <v>16</v>
      </c>
      <c r="L61" s="26">
        <v>23</v>
      </c>
      <c r="M61" s="26">
        <v>9</v>
      </c>
      <c r="N61" s="18" t="s">
        <v>32</v>
      </c>
    </row>
    <row r="62" spans="1:14" x14ac:dyDescent="0.25">
      <c r="A62" s="18">
        <f t="shared" si="2"/>
        <v>373</v>
      </c>
      <c r="B62" s="24" t="s">
        <v>92</v>
      </c>
      <c r="C62" s="25">
        <f t="shared" si="6"/>
        <v>41851</v>
      </c>
      <c r="D62" s="18" t="str">
        <f t="shared" si="4"/>
        <v>J</v>
      </c>
      <c r="E62" s="19">
        <f t="shared" si="5"/>
        <v>31</v>
      </c>
      <c r="F62" s="26">
        <v>42</v>
      </c>
      <c r="G62" s="26">
        <v>40</v>
      </c>
      <c r="H62" s="26">
        <v>2</v>
      </c>
      <c r="I62" s="26">
        <v>46</v>
      </c>
      <c r="J62" s="26">
        <v>18</v>
      </c>
      <c r="K62" s="26">
        <v>43</v>
      </c>
      <c r="L62" s="26">
        <v>45</v>
      </c>
      <c r="M62" s="26">
        <v>8</v>
      </c>
      <c r="N62" s="18" t="s">
        <v>32</v>
      </c>
    </row>
    <row r="63" spans="1:14" x14ac:dyDescent="0.25">
      <c r="A63" s="18">
        <f t="shared" si="2"/>
        <v>374</v>
      </c>
      <c r="B63" s="24" t="s">
        <v>93</v>
      </c>
      <c r="C63" s="25">
        <f t="shared" si="6"/>
        <v>41853</v>
      </c>
      <c r="D63" s="18" t="str">
        <f t="shared" si="4"/>
        <v>S</v>
      </c>
      <c r="E63" s="19">
        <f t="shared" si="5"/>
        <v>31</v>
      </c>
      <c r="F63" s="26">
        <v>49</v>
      </c>
      <c r="G63" s="26">
        <v>45</v>
      </c>
      <c r="H63" s="26">
        <v>2</v>
      </c>
      <c r="I63" s="26">
        <v>44</v>
      </c>
      <c r="J63" s="26">
        <v>37</v>
      </c>
      <c r="K63" s="26">
        <v>32</v>
      </c>
      <c r="L63" s="26">
        <v>14</v>
      </c>
      <c r="M63" s="26">
        <v>6</v>
      </c>
      <c r="N63" s="18" t="s">
        <v>32</v>
      </c>
    </row>
    <row r="64" spans="1:14" x14ac:dyDescent="0.25">
      <c r="A64" s="18">
        <f t="shared" si="2"/>
        <v>375</v>
      </c>
      <c r="B64" s="24" t="s">
        <v>94</v>
      </c>
      <c r="C64" s="25">
        <f t="shared" si="6"/>
        <v>41858</v>
      </c>
      <c r="D64" s="18" t="str">
        <f t="shared" si="4"/>
        <v>J</v>
      </c>
      <c r="E64" s="19">
        <f t="shared" si="5"/>
        <v>32</v>
      </c>
      <c r="F64" s="26">
        <v>40</v>
      </c>
      <c r="G64" s="26">
        <v>36</v>
      </c>
      <c r="H64" s="26">
        <v>20</v>
      </c>
      <c r="I64" s="26">
        <v>16</v>
      </c>
      <c r="J64" s="26">
        <v>28</v>
      </c>
      <c r="K64" s="26">
        <v>44</v>
      </c>
      <c r="L64" s="26">
        <v>12</v>
      </c>
      <c r="M64" s="26">
        <v>9</v>
      </c>
      <c r="N64" s="18" t="s">
        <v>32</v>
      </c>
    </row>
    <row r="65" spans="1:14" x14ac:dyDescent="0.25">
      <c r="A65" s="18">
        <f t="shared" si="2"/>
        <v>376</v>
      </c>
      <c r="B65" s="24" t="s">
        <v>95</v>
      </c>
      <c r="C65" s="25">
        <f t="shared" si="6"/>
        <v>41860</v>
      </c>
      <c r="D65" s="18" t="str">
        <f t="shared" si="4"/>
        <v>S</v>
      </c>
      <c r="E65" s="19">
        <f t="shared" si="5"/>
        <v>32</v>
      </c>
      <c r="F65" s="26">
        <v>24</v>
      </c>
      <c r="G65" s="26">
        <v>39</v>
      </c>
      <c r="H65" s="26">
        <v>22</v>
      </c>
      <c r="I65" s="26">
        <v>8</v>
      </c>
      <c r="J65" s="26">
        <v>2</v>
      </c>
      <c r="K65" s="26">
        <v>4</v>
      </c>
      <c r="L65" s="26">
        <v>37</v>
      </c>
      <c r="M65" s="26">
        <v>1</v>
      </c>
      <c r="N65" s="18" t="s">
        <v>32</v>
      </c>
    </row>
    <row r="66" spans="1:14" x14ac:dyDescent="0.25">
      <c r="A66" s="18">
        <f t="shared" si="2"/>
        <v>377</v>
      </c>
      <c r="B66" s="24" t="s">
        <v>96</v>
      </c>
      <c r="C66" s="25">
        <f t="shared" si="6"/>
        <v>41865</v>
      </c>
      <c r="D66" s="18" t="str">
        <f t="shared" si="4"/>
        <v>J</v>
      </c>
      <c r="E66" s="19">
        <f t="shared" si="5"/>
        <v>33</v>
      </c>
      <c r="F66" s="26">
        <v>26</v>
      </c>
      <c r="G66" s="26">
        <v>19</v>
      </c>
      <c r="H66" s="26">
        <v>25</v>
      </c>
      <c r="I66" s="26">
        <v>16</v>
      </c>
      <c r="J66" s="26">
        <v>33</v>
      </c>
      <c r="K66" s="26">
        <v>46</v>
      </c>
      <c r="L66" s="26">
        <v>49</v>
      </c>
      <c r="M66" s="26">
        <v>7</v>
      </c>
      <c r="N66" s="18" t="s">
        <v>32</v>
      </c>
    </row>
    <row r="67" spans="1:14" x14ac:dyDescent="0.25">
      <c r="A67" s="18">
        <f t="shared" si="2"/>
        <v>378</v>
      </c>
      <c r="B67" s="24" t="s">
        <v>97</v>
      </c>
      <c r="C67" s="25">
        <f t="shared" si="6"/>
        <v>41867</v>
      </c>
      <c r="D67" s="18" t="str">
        <f t="shared" si="4"/>
        <v>S</v>
      </c>
      <c r="E67" s="19">
        <f t="shared" si="5"/>
        <v>33</v>
      </c>
      <c r="F67" s="26">
        <v>46</v>
      </c>
      <c r="G67" s="26">
        <v>41</v>
      </c>
      <c r="H67" s="26">
        <v>7</v>
      </c>
      <c r="I67" s="26">
        <v>38</v>
      </c>
      <c r="J67" s="26">
        <v>19</v>
      </c>
      <c r="K67" s="26">
        <v>43</v>
      </c>
      <c r="L67" s="26">
        <v>25</v>
      </c>
      <c r="M67" s="26">
        <v>3</v>
      </c>
      <c r="N67" s="18" t="s">
        <v>32</v>
      </c>
    </row>
    <row r="68" spans="1:14" x14ac:dyDescent="0.25">
      <c r="A68" s="18">
        <f t="shared" ref="A68:A131" si="7">+A67+1</f>
        <v>379</v>
      </c>
      <c r="B68" s="24" t="s">
        <v>98</v>
      </c>
      <c r="C68" s="25">
        <f t="shared" si="6"/>
        <v>41872</v>
      </c>
      <c r="D68" s="18" t="str">
        <f t="shared" si="4"/>
        <v>J</v>
      </c>
      <c r="E68" s="19">
        <f t="shared" si="5"/>
        <v>34</v>
      </c>
      <c r="F68" s="26">
        <v>6</v>
      </c>
      <c r="G68" s="26">
        <v>43</v>
      </c>
      <c r="H68" s="26">
        <v>21</v>
      </c>
      <c r="I68" s="26">
        <v>2</v>
      </c>
      <c r="J68" s="26">
        <v>8</v>
      </c>
      <c r="K68" s="26">
        <v>26</v>
      </c>
      <c r="L68" s="26">
        <v>18</v>
      </c>
      <c r="M68" s="26">
        <v>5</v>
      </c>
      <c r="N68" s="18" t="s">
        <v>32</v>
      </c>
    </row>
    <row r="69" spans="1:14" x14ac:dyDescent="0.25">
      <c r="A69" s="18">
        <f t="shared" si="7"/>
        <v>380</v>
      </c>
      <c r="B69" s="24" t="s">
        <v>99</v>
      </c>
      <c r="C69" s="25">
        <f t="shared" si="6"/>
        <v>41874</v>
      </c>
      <c r="D69" s="18" t="str">
        <f t="shared" si="4"/>
        <v>S</v>
      </c>
      <c r="E69" s="19">
        <f t="shared" si="5"/>
        <v>34</v>
      </c>
      <c r="F69" s="26">
        <v>18</v>
      </c>
      <c r="G69" s="26">
        <v>28</v>
      </c>
      <c r="H69" s="26">
        <v>32</v>
      </c>
      <c r="I69" s="26">
        <v>27</v>
      </c>
      <c r="J69" s="26">
        <v>45</v>
      </c>
      <c r="K69" s="26">
        <v>3</v>
      </c>
      <c r="L69" s="26">
        <v>23</v>
      </c>
      <c r="M69" s="26">
        <v>0</v>
      </c>
      <c r="N69" s="18" t="s">
        <v>32</v>
      </c>
    </row>
    <row r="70" spans="1:14" x14ac:dyDescent="0.25">
      <c r="A70" s="18">
        <f t="shared" si="7"/>
        <v>381</v>
      </c>
      <c r="B70" s="24" t="s">
        <v>100</v>
      </c>
      <c r="C70" s="25">
        <f t="shared" ref="C70:C101" si="8">C68+7</f>
        <v>41879</v>
      </c>
      <c r="D70" s="18" t="str">
        <f t="shared" si="4"/>
        <v>J</v>
      </c>
      <c r="E70" s="19">
        <f t="shared" si="5"/>
        <v>35</v>
      </c>
      <c r="F70" s="26">
        <v>23</v>
      </c>
      <c r="G70" s="26">
        <v>39</v>
      </c>
      <c r="H70" s="26">
        <v>37</v>
      </c>
      <c r="I70" s="26">
        <v>46</v>
      </c>
      <c r="J70" s="26">
        <v>27</v>
      </c>
      <c r="K70" s="26">
        <v>30</v>
      </c>
      <c r="L70" s="26">
        <v>6</v>
      </c>
      <c r="M70" s="26">
        <v>8</v>
      </c>
      <c r="N70" s="18" t="s">
        <v>32</v>
      </c>
    </row>
    <row r="71" spans="1:14" x14ac:dyDescent="0.25">
      <c r="A71" s="18">
        <f t="shared" si="7"/>
        <v>382</v>
      </c>
      <c r="B71" s="24" t="s">
        <v>101</v>
      </c>
      <c r="C71" s="25">
        <f t="shared" si="8"/>
        <v>41881</v>
      </c>
      <c r="D71" s="18" t="str">
        <f t="shared" si="4"/>
        <v>S</v>
      </c>
      <c r="E71" s="19">
        <f t="shared" si="5"/>
        <v>35</v>
      </c>
      <c r="F71" s="26">
        <v>9</v>
      </c>
      <c r="G71" s="26">
        <v>24</v>
      </c>
      <c r="H71" s="26">
        <v>12</v>
      </c>
      <c r="I71" s="26">
        <v>40</v>
      </c>
      <c r="J71" s="26">
        <v>19</v>
      </c>
      <c r="K71" s="26">
        <v>32</v>
      </c>
      <c r="L71" s="26">
        <v>4</v>
      </c>
      <c r="M71" s="26">
        <v>3</v>
      </c>
      <c r="N71" s="18" t="s">
        <v>32</v>
      </c>
    </row>
    <row r="72" spans="1:14" x14ac:dyDescent="0.25">
      <c r="A72" s="18">
        <f t="shared" si="7"/>
        <v>383</v>
      </c>
      <c r="B72" s="24" t="s">
        <v>102</v>
      </c>
      <c r="C72" s="25">
        <f t="shared" si="8"/>
        <v>41886</v>
      </c>
      <c r="D72" s="18" t="str">
        <f t="shared" si="4"/>
        <v>J</v>
      </c>
      <c r="E72" s="19">
        <f t="shared" si="5"/>
        <v>36</v>
      </c>
      <c r="F72" s="26">
        <v>37</v>
      </c>
      <c r="G72" s="26">
        <v>23</v>
      </c>
      <c r="H72" s="26">
        <v>17</v>
      </c>
      <c r="I72" s="26">
        <v>30</v>
      </c>
      <c r="J72" s="26">
        <v>29</v>
      </c>
      <c r="K72" s="26">
        <v>31</v>
      </c>
      <c r="L72" s="26">
        <v>41</v>
      </c>
      <c r="M72" s="26">
        <v>2</v>
      </c>
      <c r="N72" s="18" t="s">
        <v>32</v>
      </c>
    </row>
    <row r="73" spans="1:14" x14ac:dyDescent="0.25">
      <c r="A73" s="18">
        <f t="shared" si="7"/>
        <v>384</v>
      </c>
      <c r="B73" s="24" t="s">
        <v>103</v>
      </c>
      <c r="C73" s="25">
        <f t="shared" si="8"/>
        <v>41888</v>
      </c>
      <c r="D73" s="18" t="str">
        <f t="shared" si="4"/>
        <v>S</v>
      </c>
      <c r="E73" s="19">
        <f t="shared" si="5"/>
        <v>36</v>
      </c>
      <c r="F73" s="26">
        <v>33</v>
      </c>
      <c r="G73" s="26">
        <v>44</v>
      </c>
      <c r="H73" s="26">
        <v>31</v>
      </c>
      <c r="I73" s="26">
        <v>2</v>
      </c>
      <c r="J73" s="26">
        <v>22</v>
      </c>
      <c r="K73" s="26">
        <v>12</v>
      </c>
      <c r="L73" s="26">
        <v>36</v>
      </c>
      <c r="M73" s="26">
        <v>9</v>
      </c>
      <c r="N73" s="18" t="s">
        <v>32</v>
      </c>
    </row>
    <row r="74" spans="1:14" x14ac:dyDescent="0.25">
      <c r="A74" s="18">
        <f t="shared" si="7"/>
        <v>385</v>
      </c>
      <c r="B74" s="24" t="s">
        <v>104</v>
      </c>
      <c r="C74" s="25">
        <f t="shared" si="8"/>
        <v>41893</v>
      </c>
      <c r="D74" s="18" t="str">
        <f t="shared" si="4"/>
        <v>J</v>
      </c>
      <c r="E74" s="19">
        <f t="shared" si="5"/>
        <v>37</v>
      </c>
      <c r="F74" s="26">
        <v>5</v>
      </c>
      <c r="G74" s="26">
        <v>24</v>
      </c>
      <c r="H74" s="26">
        <v>2</v>
      </c>
      <c r="I74" s="26">
        <v>7</v>
      </c>
      <c r="J74" s="26">
        <v>9</v>
      </c>
      <c r="K74" s="26">
        <v>20</v>
      </c>
      <c r="L74" s="26">
        <v>46</v>
      </c>
      <c r="M74" s="26">
        <v>7</v>
      </c>
      <c r="N74" s="18" t="s">
        <v>32</v>
      </c>
    </row>
    <row r="75" spans="1:14" x14ac:dyDescent="0.25">
      <c r="A75" s="18">
        <f t="shared" si="7"/>
        <v>386</v>
      </c>
      <c r="B75" s="24" t="s">
        <v>105</v>
      </c>
      <c r="C75" s="25">
        <f t="shared" si="8"/>
        <v>41895</v>
      </c>
      <c r="D75" s="18" t="str">
        <f t="shared" si="4"/>
        <v>S</v>
      </c>
      <c r="E75" s="19">
        <f t="shared" si="5"/>
        <v>37</v>
      </c>
      <c r="F75" s="26">
        <v>3</v>
      </c>
      <c r="G75" s="26">
        <v>44</v>
      </c>
      <c r="H75" s="26">
        <v>18</v>
      </c>
      <c r="I75" s="26">
        <v>13</v>
      </c>
      <c r="J75" s="26">
        <v>38</v>
      </c>
      <c r="K75" s="26">
        <v>12</v>
      </c>
      <c r="L75" s="26">
        <v>34</v>
      </c>
      <c r="M75" s="26">
        <v>2</v>
      </c>
      <c r="N75" s="18" t="s">
        <v>32</v>
      </c>
    </row>
    <row r="76" spans="1:14" x14ac:dyDescent="0.25">
      <c r="A76" s="18">
        <f t="shared" si="7"/>
        <v>387</v>
      </c>
      <c r="B76" s="24" t="s">
        <v>106</v>
      </c>
      <c r="C76" s="25">
        <f t="shared" si="8"/>
        <v>41900</v>
      </c>
      <c r="D76" s="18" t="str">
        <f t="shared" si="4"/>
        <v>J</v>
      </c>
      <c r="E76" s="19">
        <f t="shared" si="5"/>
        <v>38</v>
      </c>
      <c r="F76" s="26">
        <v>24</v>
      </c>
      <c r="G76" s="26">
        <v>30</v>
      </c>
      <c r="H76" s="26">
        <v>17</v>
      </c>
      <c r="I76" s="26">
        <v>5</v>
      </c>
      <c r="J76" s="26">
        <v>26</v>
      </c>
      <c r="K76" s="26">
        <v>44</v>
      </c>
      <c r="L76" s="26">
        <v>7</v>
      </c>
      <c r="M76" s="26">
        <v>3</v>
      </c>
      <c r="N76" s="18" t="s">
        <v>32</v>
      </c>
    </row>
    <row r="77" spans="1:14" x14ac:dyDescent="0.25">
      <c r="A77" s="18">
        <f t="shared" si="7"/>
        <v>388</v>
      </c>
      <c r="B77" s="24" t="s">
        <v>107</v>
      </c>
      <c r="C77" s="25">
        <f t="shared" si="8"/>
        <v>41902</v>
      </c>
      <c r="D77" s="18" t="str">
        <f t="shared" si="4"/>
        <v>S</v>
      </c>
      <c r="E77" s="19">
        <f t="shared" si="5"/>
        <v>38</v>
      </c>
      <c r="F77" s="26">
        <v>8</v>
      </c>
      <c r="G77" s="26">
        <v>24</v>
      </c>
      <c r="H77" s="26">
        <v>33</v>
      </c>
      <c r="I77" s="26">
        <v>14</v>
      </c>
      <c r="J77" s="26">
        <v>49</v>
      </c>
      <c r="K77" s="26">
        <v>28</v>
      </c>
      <c r="L77" s="26">
        <v>25</v>
      </c>
      <c r="M77" s="26">
        <v>8</v>
      </c>
      <c r="N77" s="18" t="s">
        <v>32</v>
      </c>
    </row>
    <row r="78" spans="1:14" x14ac:dyDescent="0.25">
      <c r="A78" s="18">
        <f t="shared" si="7"/>
        <v>389</v>
      </c>
      <c r="B78" s="24" t="s">
        <v>108</v>
      </c>
      <c r="C78" s="25">
        <f t="shared" si="8"/>
        <v>41907</v>
      </c>
      <c r="D78" s="18" t="str">
        <f t="shared" si="4"/>
        <v>J</v>
      </c>
      <c r="E78" s="19">
        <f t="shared" si="5"/>
        <v>39</v>
      </c>
      <c r="F78" s="26">
        <v>37</v>
      </c>
      <c r="G78" s="26">
        <v>8</v>
      </c>
      <c r="H78" s="26">
        <v>49</v>
      </c>
      <c r="I78" s="26">
        <v>18</v>
      </c>
      <c r="J78" s="26">
        <v>47</v>
      </c>
      <c r="K78" s="26">
        <v>12</v>
      </c>
      <c r="L78" s="26">
        <v>6</v>
      </c>
      <c r="M78" s="26">
        <v>8</v>
      </c>
      <c r="N78" s="18" t="s">
        <v>32</v>
      </c>
    </row>
    <row r="79" spans="1:14" x14ac:dyDescent="0.25">
      <c r="A79" s="18">
        <f t="shared" si="7"/>
        <v>390</v>
      </c>
      <c r="B79" s="24" t="s">
        <v>109</v>
      </c>
      <c r="C79" s="25">
        <f t="shared" si="8"/>
        <v>41909</v>
      </c>
      <c r="D79" s="18" t="str">
        <f t="shared" si="4"/>
        <v>S</v>
      </c>
      <c r="E79" s="19">
        <f t="shared" si="5"/>
        <v>39</v>
      </c>
      <c r="F79" s="26">
        <v>13</v>
      </c>
      <c r="G79" s="26">
        <v>1</v>
      </c>
      <c r="H79" s="26">
        <v>18</v>
      </c>
      <c r="I79" s="26">
        <v>14</v>
      </c>
      <c r="J79" s="26">
        <v>10</v>
      </c>
      <c r="K79" s="26">
        <v>24</v>
      </c>
      <c r="L79" s="26">
        <v>4</v>
      </c>
      <c r="M79" s="26">
        <v>0</v>
      </c>
      <c r="N79" s="18" t="s">
        <v>32</v>
      </c>
    </row>
    <row r="80" spans="1:14" x14ac:dyDescent="0.25">
      <c r="A80" s="18">
        <f t="shared" si="7"/>
        <v>391</v>
      </c>
      <c r="B80" s="24" t="s">
        <v>110</v>
      </c>
      <c r="C80" s="25">
        <f t="shared" si="8"/>
        <v>41914</v>
      </c>
      <c r="D80" s="18" t="str">
        <f t="shared" si="4"/>
        <v>J</v>
      </c>
      <c r="E80" s="19">
        <f t="shared" si="5"/>
        <v>40</v>
      </c>
      <c r="F80" s="26">
        <v>29</v>
      </c>
      <c r="G80" s="26">
        <v>17</v>
      </c>
      <c r="H80" s="26">
        <v>24</v>
      </c>
      <c r="I80" s="26">
        <v>43</v>
      </c>
      <c r="J80" s="26">
        <v>31</v>
      </c>
      <c r="K80" s="26">
        <v>33</v>
      </c>
      <c r="L80" s="26">
        <v>27</v>
      </c>
      <c r="M80" s="26">
        <v>7</v>
      </c>
      <c r="N80" s="18" t="s">
        <v>32</v>
      </c>
    </row>
    <row r="81" spans="1:14" x14ac:dyDescent="0.25">
      <c r="A81" s="18">
        <f t="shared" si="7"/>
        <v>392</v>
      </c>
      <c r="B81" s="24" t="s">
        <v>111</v>
      </c>
      <c r="C81" s="25">
        <f t="shared" si="8"/>
        <v>41916</v>
      </c>
      <c r="D81" s="18" t="str">
        <f t="shared" si="4"/>
        <v>S</v>
      </c>
      <c r="E81" s="19">
        <f t="shared" si="5"/>
        <v>40</v>
      </c>
      <c r="F81" s="26">
        <v>30</v>
      </c>
      <c r="G81" s="26">
        <v>10</v>
      </c>
      <c r="H81" s="26">
        <v>28</v>
      </c>
      <c r="I81" s="26">
        <v>39</v>
      </c>
      <c r="J81" s="26">
        <v>24</v>
      </c>
      <c r="K81" s="26">
        <v>11</v>
      </c>
      <c r="L81" s="26">
        <v>6</v>
      </c>
      <c r="M81" s="26">
        <v>0</v>
      </c>
      <c r="N81" s="18" t="s">
        <v>32</v>
      </c>
    </row>
    <row r="82" spans="1:14" x14ac:dyDescent="0.25">
      <c r="A82" s="18">
        <f t="shared" si="7"/>
        <v>393</v>
      </c>
      <c r="B82" s="24" t="s">
        <v>112</v>
      </c>
      <c r="C82" s="25">
        <f t="shared" si="8"/>
        <v>41921</v>
      </c>
      <c r="D82" s="18" t="str">
        <f t="shared" si="4"/>
        <v>J</v>
      </c>
      <c r="E82" s="19">
        <f t="shared" si="5"/>
        <v>41</v>
      </c>
      <c r="F82" s="26">
        <v>38</v>
      </c>
      <c r="G82" s="26">
        <v>7</v>
      </c>
      <c r="H82" s="26">
        <v>4</v>
      </c>
      <c r="I82" s="26">
        <v>42</v>
      </c>
      <c r="J82" s="26">
        <v>39</v>
      </c>
      <c r="K82" s="26">
        <v>14</v>
      </c>
      <c r="L82" s="26">
        <v>36</v>
      </c>
      <c r="M82" s="26">
        <v>0</v>
      </c>
      <c r="N82" s="18" t="s">
        <v>32</v>
      </c>
    </row>
    <row r="83" spans="1:14" x14ac:dyDescent="0.25">
      <c r="A83" s="18">
        <f t="shared" si="7"/>
        <v>394</v>
      </c>
      <c r="B83" s="24" t="s">
        <v>113</v>
      </c>
      <c r="C83" s="25">
        <f t="shared" si="8"/>
        <v>41923</v>
      </c>
      <c r="D83" s="18" t="str">
        <f t="shared" si="4"/>
        <v>S</v>
      </c>
      <c r="E83" s="19">
        <f t="shared" si="5"/>
        <v>41</v>
      </c>
      <c r="F83" s="26">
        <v>34</v>
      </c>
      <c r="G83" s="26">
        <v>41</v>
      </c>
      <c r="H83" s="26">
        <v>5</v>
      </c>
      <c r="I83" s="26">
        <v>8</v>
      </c>
      <c r="J83" s="26">
        <v>39</v>
      </c>
      <c r="K83" s="26">
        <v>30</v>
      </c>
      <c r="L83" s="26">
        <v>1</v>
      </c>
      <c r="M83" s="26">
        <v>0</v>
      </c>
      <c r="N83" s="18" t="s">
        <v>32</v>
      </c>
    </row>
    <row r="84" spans="1:14" x14ac:dyDescent="0.25">
      <c r="A84" s="18">
        <f t="shared" si="7"/>
        <v>395</v>
      </c>
      <c r="B84" s="24" t="s">
        <v>114</v>
      </c>
      <c r="C84" s="25">
        <f t="shared" si="8"/>
        <v>41928</v>
      </c>
      <c r="D84" s="18" t="str">
        <f t="shared" si="4"/>
        <v>J</v>
      </c>
      <c r="E84" s="19">
        <f t="shared" si="5"/>
        <v>42</v>
      </c>
      <c r="F84" s="26">
        <v>24</v>
      </c>
      <c r="G84" s="26">
        <v>31</v>
      </c>
      <c r="H84" s="26">
        <v>41</v>
      </c>
      <c r="I84" s="26">
        <v>36</v>
      </c>
      <c r="J84" s="26">
        <v>15</v>
      </c>
      <c r="K84" s="26">
        <v>29</v>
      </c>
      <c r="L84" s="26">
        <v>45</v>
      </c>
      <c r="M84" s="26">
        <v>8</v>
      </c>
      <c r="N84" s="18" t="s">
        <v>32</v>
      </c>
    </row>
    <row r="85" spans="1:14" x14ac:dyDescent="0.25">
      <c r="A85" s="18">
        <f t="shared" si="7"/>
        <v>396</v>
      </c>
      <c r="B85" s="24" t="s">
        <v>115</v>
      </c>
      <c r="C85" s="25">
        <f t="shared" si="8"/>
        <v>41930</v>
      </c>
      <c r="D85" s="18" t="str">
        <f t="shared" si="4"/>
        <v>S</v>
      </c>
      <c r="E85" s="19">
        <f t="shared" si="5"/>
        <v>42</v>
      </c>
      <c r="F85" s="26">
        <v>25</v>
      </c>
      <c r="G85" s="26">
        <v>26</v>
      </c>
      <c r="H85" s="26">
        <v>28</v>
      </c>
      <c r="I85" s="26">
        <v>31</v>
      </c>
      <c r="J85" s="26">
        <v>30</v>
      </c>
      <c r="K85" s="26">
        <v>40</v>
      </c>
      <c r="L85" s="26">
        <v>11</v>
      </c>
      <c r="M85" s="26">
        <v>1</v>
      </c>
      <c r="N85" s="18" t="s">
        <v>32</v>
      </c>
    </row>
    <row r="86" spans="1:14" x14ac:dyDescent="0.25">
      <c r="A86" s="18">
        <f t="shared" si="7"/>
        <v>397</v>
      </c>
      <c r="B86" s="24" t="s">
        <v>116</v>
      </c>
      <c r="C86" s="25">
        <f t="shared" si="8"/>
        <v>41935</v>
      </c>
      <c r="D86" s="18" t="str">
        <f t="shared" si="4"/>
        <v>J</v>
      </c>
      <c r="E86" s="19">
        <f t="shared" si="5"/>
        <v>43</v>
      </c>
      <c r="F86" s="26">
        <v>41</v>
      </c>
      <c r="G86" s="26">
        <v>15</v>
      </c>
      <c r="H86" s="26">
        <v>30</v>
      </c>
      <c r="I86" s="26">
        <v>22</v>
      </c>
      <c r="J86" s="26">
        <v>4</v>
      </c>
      <c r="K86" s="26">
        <v>32</v>
      </c>
      <c r="L86" s="26">
        <v>19</v>
      </c>
      <c r="M86" s="26">
        <v>6</v>
      </c>
      <c r="N86" s="18" t="s">
        <v>32</v>
      </c>
    </row>
    <row r="87" spans="1:14" x14ac:dyDescent="0.25">
      <c r="A87" s="18">
        <f t="shared" si="7"/>
        <v>398</v>
      </c>
      <c r="B87" s="24" t="s">
        <v>117</v>
      </c>
      <c r="C87" s="25">
        <f t="shared" si="8"/>
        <v>41937</v>
      </c>
      <c r="D87" s="18" t="str">
        <f t="shared" si="4"/>
        <v>S</v>
      </c>
      <c r="E87" s="19">
        <f t="shared" si="5"/>
        <v>43</v>
      </c>
      <c r="F87" s="26">
        <v>35</v>
      </c>
      <c r="G87" s="26">
        <v>8</v>
      </c>
      <c r="H87" s="26">
        <v>37</v>
      </c>
      <c r="I87" s="26">
        <v>23</v>
      </c>
      <c r="J87" s="26">
        <v>36</v>
      </c>
      <c r="K87" s="26">
        <v>15</v>
      </c>
      <c r="L87" s="26">
        <v>44</v>
      </c>
      <c r="M87" s="26">
        <v>6</v>
      </c>
      <c r="N87" s="18" t="s">
        <v>32</v>
      </c>
    </row>
    <row r="88" spans="1:14" x14ac:dyDescent="0.25">
      <c r="A88" s="18">
        <f t="shared" si="7"/>
        <v>399</v>
      </c>
      <c r="B88" s="24" t="s">
        <v>118</v>
      </c>
      <c r="C88" s="25">
        <f t="shared" si="8"/>
        <v>41942</v>
      </c>
      <c r="D88" s="18" t="str">
        <f t="shared" si="4"/>
        <v>J</v>
      </c>
      <c r="E88" s="19">
        <f t="shared" si="5"/>
        <v>44</v>
      </c>
      <c r="F88" s="26">
        <v>10</v>
      </c>
      <c r="G88" s="26">
        <v>22</v>
      </c>
      <c r="H88" s="26">
        <v>41</v>
      </c>
      <c r="I88" s="26">
        <v>34</v>
      </c>
      <c r="J88" s="26">
        <v>39</v>
      </c>
      <c r="K88" s="26">
        <v>28</v>
      </c>
      <c r="L88" s="26">
        <v>11</v>
      </c>
      <c r="M88" s="26">
        <v>1</v>
      </c>
      <c r="N88" s="18" t="s">
        <v>32</v>
      </c>
    </row>
    <row r="89" spans="1:14" x14ac:dyDescent="0.25">
      <c r="A89" s="18">
        <f t="shared" si="7"/>
        <v>400</v>
      </c>
      <c r="B89" s="24" t="s">
        <v>119</v>
      </c>
      <c r="C89" s="25">
        <f t="shared" si="8"/>
        <v>41944</v>
      </c>
      <c r="D89" s="18" t="str">
        <f t="shared" si="4"/>
        <v>S</v>
      </c>
      <c r="E89" s="19">
        <f t="shared" si="5"/>
        <v>44</v>
      </c>
      <c r="F89" s="26">
        <v>40</v>
      </c>
      <c r="G89" s="26">
        <v>20</v>
      </c>
      <c r="H89" s="26">
        <v>48</v>
      </c>
      <c r="I89" s="26">
        <v>26</v>
      </c>
      <c r="J89" s="26">
        <v>38</v>
      </c>
      <c r="K89" s="26">
        <v>33</v>
      </c>
      <c r="L89" s="26">
        <v>14</v>
      </c>
      <c r="M89" s="26">
        <v>3</v>
      </c>
      <c r="N89" s="18" t="s">
        <v>32</v>
      </c>
    </row>
    <row r="90" spans="1:14" x14ac:dyDescent="0.25">
      <c r="A90" s="18">
        <f t="shared" si="7"/>
        <v>401</v>
      </c>
      <c r="B90" s="24" t="s">
        <v>120</v>
      </c>
      <c r="C90" s="25">
        <f t="shared" si="8"/>
        <v>41949</v>
      </c>
      <c r="D90" s="18" t="str">
        <f t="shared" ref="D90:D153" si="9">CHOOSE(WEEKDAY(C90),"D","L","M","X","J","V","S")</f>
        <v>J</v>
      </c>
      <c r="E90" s="19">
        <f t="shared" ref="E90:E153" si="10">WEEKNUM(C90,21)</f>
        <v>45</v>
      </c>
      <c r="F90" s="26">
        <v>5</v>
      </c>
      <c r="G90" s="26">
        <v>18</v>
      </c>
      <c r="H90" s="26">
        <v>22</v>
      </c>
      <c r="I90" s="26">
        <v>30</v>
      </c>
      <c r="J90" s="26">
        <v>3</v>
      </c>
      <c r="K90" s="26">
        <v>25</v>
      </c>
      <c r="L90" s="26">
        <v>33</v>
      </c>
      <c r="M90" s="26">
        <v>4</v>
      </c>
      <c r="N90" s="18" t="s">
        <v>32</v>
      </c>
    </row>
    <row r="91" spans="1:14" x14ac:dyDescent="0.25">
      <c r="A91" s="18">
        <f t="shared" si="7"/>
        <v>402</v>
      </c>
      <c r="B91" s="24" t="s">
        <v>121</v>
      </c>
      <c r="C91" s="25">
        <f t="shared" si="8"/>
        <v>41951</v>
      </c>
      <c r="D91" s="18" t="str">
        <f t="shared" si="9"/>
        <v>S</v>
      </c>
      <c r="E91" s="19">
        <f t="shared" si="10"/>
        <v>45</v>
      </c>
      <c r="F91" s="26">
        <v>37</v>
      </c>
      <c r="G91" s="26">
        <v>17</v>
      </c>
      <c r="H91" s="26">
        <v>4</v>
      </c>
      <c r="I91" s="26">
        <v>35</v>
      </c>
      <c r="J91" s="26">
        <v>32</v>
      </c>
      <c r="K91" s="26">
        <v>33</v>
      </c>
      <c r="L91" s="26">
        <v>29</v>
      </c>
      <c r="M91" s="26">
        <v>2</v>
      </c>
      <c r="N91" s="18" t="s">
        <v>32</v>
      </c>
    </row>
    <row r="92" spans="1:14" x14ac:dyDescent="0.25">
      <c r="A92" s="18">
        <f t="shared" si="7"/>
        <v>403</v>
      </c>
      <c r="B92" s="24" t="s">
        <v>122</v>
      </c>
      <c r="C92" s="25">
        <f t="shared" si="8"/>
        <v>41956</v>
      </c>
      <c r="D92" s="18" t="str">
        <f t="shared" si="9"/>
        <v>J</v>
      </c>
      <c r="E92" s="19">
        <f t="shared" si="10"/>
        <v>46</v>
      </c>
      <c r="F92" s="26">
        <v>31</v>
      </c>
      <c r="G92" s="26">
        <v>34</v>
      </c>
      <c r="H92" s="26">
        <v>32</v>
      </c>
      <c r="I92" s="26">
        <v>2</v>
      </c>
      <c r="J92" s="26">
        <v>3</v>
      </c>
      <c r="K92" s="26">
        <v>39</v>
      </c>
      <c r="L92" s="26">
        <v>42</v>
      </c>
      <c r="M92" s="26">
        <v>9</v>
      </c>
      <c r="N92" s="18" t="s">
        <v>32</v>
      </c>
    </row>
    <row r="93" spans="1:14" x14ac:dyDescent="0.25">
      <c r="A93" s="18">
        <f t="shared" si="7"/>
        <v>404</v>
      </c>
      <c r="B93" s="24" t="s">
        <v>123</v>
      </c>
      <c r="C93" s="25">
        <f t="shared" si="8"/>
        <v>41958</v>
      </c>
      <c r="D93" s="18" t="str">
        <f t="shared" si="9"/>
        <v>S</v>
      </c>
      <c r="E93" s="19">
        <f t="shared" si="10"/>
        <v>46</v>
      </c>
      <c r="F93" s="26">
        <v>30</v>
      </c>
      <c r="G93" s="26">
        <v>2</v>
      </c>
      <c r="H93" s="26">
        <v>11</v>
      </c>
      <c r="I93" s="26">
        <v>42</v>
      </c>
      <c r="J93" s="26">
        <v>49</v>
      </c>
      <c r="K93" s="26">
        <v>48</v>
      </c>
      <c r="L93" s="26">
        <v>25</v>
      </c>
      <c r="M93" s="26">
        <v>2</v>
      </c>
      <c r="N93" s="18" t="s">
        <v>32</v>
      </c>
    </row>
    <row r="94" spans="1:14" x14ac:dyDescent="0.25">
      <c r="A94" s="18">
        <f t="shared" si="7"/>
        <v>405</v>
      </c>
      <c r="B94" s="24" t="s">
        <v>124</v>
      </c>
      <c r="C94" s="25">
        <f t="shared" si="8"/>
        <v>41963</v>
      </c>
      <c r="D94" s="18" t="str">
        <f t="shared" si="9"/>
        <v>J</v>
      </c>
      <c r="E94" s="19">
        <f t="shared" si="10"/>
        <v>47</v>
      </c>
      <c r="F94" s="26">
        <v>43</v>
      </c>
      <c r="G94" s="26">
        <v>9</v>
      </c>
      <c r="H94" s="26">
        <v>46</v>
      </c>
      <c r="I94" s="26">
        <v>31</v>
      </c>
      <c r="J94" s="26">
        <v>28</v>
      </c>
      <c r="K94" s="26">
        <v>36</v>
      </c>
      <c r="L94" s="26">
        <v>21</v>
      </c>
      <c r="M94" s="26">
        <v>6</v>
      </c>
      <c r="N94" s="18" t="s">
        <v>32</v>
      </c>
    </row>
    <row r="95" spans="1:14" x14ac:dyDescent="0.25">
      <c r="A95" s="18">
        <f t="shared" si="7"/>
        <v>406</v>
      </c>
      <c r="B95" s="24" t="s">
        <v>125</v>
      </c>
      <c r="C95" s="25">
        <f t="shared" si="8"/>
        <v>41965</v>
      </c>
      <c r="D95" s="18" t="str">
        <f t="shared" si="9"/>
        <v>S</v>
      </c>
      <c r="E95" s="19">
        <f t="shared" si="10"/>
        <v>47</v>
      </c>
      <c r="F95" s="26">
        <v>25</v>
      </c>
      <c r="G95" s="26">
        <v>31</v>
      </c>
      <c r="H95" s="26">
        <v>10</v>
      </c>
      <c r="I95" s="26">
        <v>26</v>
      </c>
      <c r="J95" s="26">
        <v>9</v>
      </c>
      <c r="K95" s="26">
        <v>8</v>
      </c>
      <c r="L95" s="26">
        <v>45</v>
      </c>
      <c r="M95" s="26">
        <v>3</v>
      </c>
      <c r="N95" s="18" t="s">
        <v>32</v>
      </c>
    </row>
    <row r="96" spans="1:14" x14ac:dyDescent="0.25">
      <c r="A96" s="18">
        <f t="shared" si="7"/>
        <v>407</v>
      </c>
      <c r="B96" s="24" t="s">
        <v>126</v>
      </c>
      <c r="C96" s="25">
        <f t="shared" si="8"/>
        <v>41970</v>
      </c>
      <c r="D96" s="18" t="str">
        <f t="shared" si="9"/>
        <v>J</v>
      </c>
      <c r="E96" s="19">
        <f t="shared" si="10"/>
        <v>48</v>
      </c>
      <c r="F96" s="26">
        <v>33</v>
      </c>
      <c r="G96" s="26">
        <v>37</v>
      </c>
      <c r="H96" s="26">
        <v>22</v>
      </c>
      <c r="I96" s="26">
        <v>42</v>
      </c>
      <c r="J96" s="26">
        <v>8</v>
      </c>
      <c r="K96" s="26">
        <v>2</v>
      </c>
      <c r="L96" s="26">
        <v>13</v>
      </c>
      <c r="M96" s="26">
        <v>5</v>
      </c>
      <c r="N96" s="18" t="s">
        <v>32</v>
      </c>
    </row>
    <row r="97" spans="1:14" x14ac:dyDescent="0.25">
      <c r="A97" s="18">
        <f t="shared" si="7"/>
        <v>408</v>
      </c>
      <c r="B97" s="24" t="s">
        <v>127</v>
      </c>
      <c r="C97" s="25">
        <f t="shared" si="8"/>
        <v>41972</v>
      </c>
      <c r="D97" s="18" t="str">
        <f t="shared" si="9"/>
        <v>S</v>
      </c>
      <c r="E97" s="19">
        <f t="shared" si="10"/>
        <v>48</v>
      </c>
      <c r="F97" s="26">
        <v>2</v>
      </c>
      <c r="G97" s="26">
        <v>8</v>
      </c>
      <c r="H97" s="26">
        <v>32</v>
      </c>
      <c r="I97" s="26">
        <v>37</v>
      </c>
      <c r="J97" s="26">
        <v>29</v>
      </c>
      <c r="K97" s="26">
        <v>25</v>
      </c>
      <c r="L97" s="26">
        <v>21</v>
      </c>
      <c r="M97" s="26">
        <v>2</v>
      </c>
      <c r="N97" s="18" t="s">
        <v>32</v>
      </c>
    </row>
    <row r="98" spans="1:14" x14ac:dyDescent="0.25">
      <c r="A98" s="18">
        <f t="shared" si="7"/>
        <v>409</v>
      </c>
      <c r="B98" s="24" t="s">
        <v>128</v>
      </c>
      <c r="C98" s="25">
        <f t="shared" si="8"/>
        <v>41977</v>
      </c>
      <c r="D98" s="18" t="str">
        <f t="shared" si="9"/>
        <v>J</v>
      </c>
      <c r="E98" s="19">
        <f t="shared" si="10"/>
        <v>49</v>
      </c>
      <c r="F98" s="26">
        <v>23</v>
      </c>
      <c r="G98" s="26">
        <v>35</v>
      </c>
      <c r="H98" s="26">
        <v>9</v>
      </c>
      <c r="I98" s="26">
        <v>34</v>
      </c>
      <c r="J98" s="26">
        <v>18</v>
      </c>
      <c r="K98" s="26">
        <v>22</v>
      </c>
      <c r="L98" s="26">
        <v>25</v>
      </c>
      <c r="M98" s="26">
        <v>2</v>
      </c>
      <c r="N98" s="18" t="s">
        <v>32</v>
      </c>
    </row>
    <row r="99" spans="1:14" x14ac:dyDescent="0.25">
      <c r="A99" s="18">
        <f t="shared" si="7"/>
        <v>410</v>
      </c>
      <c r="B99" s="24" t="s">
        <v>129</v>
      </c>
      <c r="C99" s="25">
        <f t="shared" si="8"/>
        <v>41979</v>
      </c>
      <c r="D99" s="18" t="str">
        <f t="shared" si="9"/>
        <v>S</v>
      </c>
      <c r="E99" s="19">
        <f t="shared" si="10"/>
        <v>49</v>
      </c>
      <c r="F99" s="26">
        <v>15</v>
      </c>
      <c r="G99" s="26">
        <v>3</v>
      </c>
      <c r="H99" s="26">
        <v>10</v>
      </c>
      <c r="I99" s="26">
        <v>11</v>
      </c>
      <c r="J99" s="26">
        <v>37</v>
      </c>
      <c r="K99" s="26">
        <v>21</v>
      </c>
      <c r="L99" s="26">
        <v>41</v>
      </c>
      <c r="M99" s="26">
        <v>1</v>
      </c>
      <c r="N99" s="18" t="s">
        <v>32</v>
      </c>
    </row>
    <row r="100" spans="1:14" x14ac:dyDescent="0.25">
      <c r="A100" s="18">
        <f t="shared" si="7"/>
        <v>411</v>
      </c>
      <c r="B100" s="24" t="s">
        <v>130</v>
      </c>
      <c r="C100" s="25">
        <f t="shared" si="8"/>
        <v>41984</v>
      </c>
      <c r="D100" s="18" t="str">
        <f t="shared" si="9"/>
        <v>J</v>
      </c>
      <c r="E100" s="19">
        <f t="shared" si="10"/>
        <v>50</v>
      </c>
      <c r="F100" s="26">
        <v>38</v>
      </c>
      <c r="G100" s="26">
        <v>44</v>
      </c>
      <c r="H100" s="26">
        <v>49</v>
      </c>
      <c r="I100" s="26">
        <v>16</v>
      </c>
      <c r="J100" s="26">
        <v>2</v>
      </c>
      <c r="K100" s="26">
        <v>36</v>
      </c>
      <c r="L100" s="26">
        <v>8</v>
      </c>
      <c r="M100" s="26">
        <v>8</v>
      </c>
      <c r="N100" s="18" t="s">
        <v>32</v>
      </c>
    </row>
    <row r="101" spans="1:14" x14ac:dyDescent="0.25">
      <c r="A101" s="18">
        <f t="shared" si="7"/>
        <v>412</v>
      </c>
      <c r="B101" s="24" t="s">
        <v>131</v>
      </c>
      <c r="C101" s="25">
        <f t="shared" si="8"/>
        <v>41986</v>
      </c>
      <c r="D101" s="18" t="str">
        <f t="shared" si="9"/>
        <v>S</v>
      </c>
      <c r="E101" s="19">
        <f t="shared" si="10"/>
        <v>50</v>
      </c>
      <c r="F101" s="26">
        <v>42</v>
      </c>
      <c r="G101" s="26">
        <v>1</v>
      </c>
      <c r="H101" s="26">
        <v>25</v>
      </c>
      <c r="I101" s="26">
        <v>27</v>
      </c>
      <c r="J101" s="26">
        <v>36</v>
      </c>
      <c r="K101" s="26">
        <v>39</v>
      </c>
      <c r="L101" s="26">
        <v>14</v>
      </c>
      <c r="M101" s="26">
        <v>5</v>
      </c>
      <c r="N101" s="18" t="s">
        <v>32</v>
      </c>
    </row>
    <row r="102" spans="1:14" x14ac:dyDescent="0.25">
      <c r="A102" s="18">
        <f t="shared" si="7"/>
        <v>413</v>
      </c>
      <c r="B102" s="24" t="s">
        <v>132</v>
      </c>
      <c r="C102" s="25">
        <f t="shared" ref="C102:C105" si="11">C100+7</f>
        <v>41991</v>
      </c>
      <c r="D102" s="18" t="str">
        <f t="shared" si="9"/>
        <v>J</v>
      </c>
      <c r="E102" s="19">
        <f t="shared" si="10"/>
        <v>51</v>
      </c>
      <c r="F102" s="26">
        <v>43</v>
      </c>
      <c r="G102" s="26">
        <v>36</v>
      </c>
      <c r="H102" s="26">
        <v>31</v>
      </c>
      <c r="I102" s="26">
        <v>18</v>
      </c>
      <c r="J102" s="26">
        <v>41</v>
      </c>
      <c r="K102" s="26">
        <v>8</v>
      </c>
      <c r="L102" s="26">
        <v>10</v>
      </c>
      <c r="M102" s="26">
        <v>8</v>
      </c>
      <c r="N102" s="18" t="s">
        <v>32</v>
      </c>
    </row>
    <row r="103" spans="1:14" x14ac:dyDescent="0.25">
      <c r="A103" s="18">
        <f t="shared" si="7"/>
        <v>414</v>
      </c>
      <c r="B103" s="24" t="s">
        <v>133</v>
      </c>
      <c r="C103" s="25">
        <f t="shared" si="11"/>
        <v>41993</v>
      </c>
      <c r="D103" s="18" t="str">
        <f t="shared" si="9"/>
        <v>S</v>
      </c>
      <c r="E103" s="19">
        <f t="shared" si="10"/>
        <v>51</v>
      </c>
      <c r="F103" s="26">
        <v>22</v>
      </c>
      <c r="G103" s="26">
        <v>20</v>
      </c>
      <c r="H103" s="26">
        <v>34</v>
      </c>
      <c r="I103" s="26">
        <v>12</v>
      </c>
      <c r="J103" s="26">
        <v>26</v>
      </c>
      <c r="K103" s="26">
        <v>40</v>
      </c>
      <c r="L103" s="26">
        <v>16</v>
      </c>
      <c r="M103" s="26">
        <v>2</v>
      </c>
      <c r="N103" s="18" t="s">
        <v>32</v>
      </c>
    </row>
    <row r="104" spans="1:14" x14ac:dyDescent="0.25">
      <c r="A104" s="18">
        <f t="shared" si="7"/>
        <v>415</v>
      </c>
      <c r="B104" s="24" t="s">
        <v>134</v>
      </c>
      <c r="C104" s="25">
        <f t="shared" si="11"/>
        <v>41998</v>
      </c>
      <c r="D104" s="18" t="str">
        <f t="shared" si="9"/>
        <v>J</v>
      </c>
      <c r="E104" s="19">
        <f t="shared" si="10"/>
        <v>52</v>
      </c>
      <c r="F104" s="26">
        <v>30</v>
      </c>
      <c r="G104" s="26">
        <v>39</v>
      </c>
      <c r="H104" s="26">
        <v>32</v>
      </c>
      <c r="I104" s="26">
        <v>37</v>
      </c>
      <c r="J104" s="26">
        <v>44</v>
      </c>
      <c r="K104" s="26">
        <v>6</v>
      </c>
      <c r="L104" s="26">
        <v>31</v>
      </c>
      <c r="M104" s="26">
        <v>4</v>
      </c>
      <c r="N104" s="18" t="s">
        <v>32</v>
      </c>
    </row>
    <row r="105" spans="1:14" x14ac:dyDescent="0.25">
      <c r="A105" s="18">
        <f t="shared" si="7"/>
        <v>416</v>
      </c>
      <c r="B105" s="24" t="s">
        <v>135</v>
      </c>
      <c r="C105" s="25">
        <f t="shared" si="11"/>
        <v>42000</v>
      </c>
      <c r="D105" s="18" t="str">
        <f t="shared" si="9"/>
        <v>S</v>
      </c>
      <c r="E105" s="19">
        <f t="shared" si="10"/>
        <v>52</v>
      </c>
      <c r="F105" s="26">
        <v>33</v>
      </c>
      <c r="G105" s="26">
        <v>10</v>
      </c>
      <c r="H105" s="26">
        <v>47</v>
      </c>
      <c r="I105" s="26">
        <v>1</v>
      </c>
      <c r="J105" s="26">
        <v>23</v>
      </c>
      <c r="K105" s="26">
        <v>21</v>
      </c>
      <c r="L105" s="26">
        <v>18</v>
      </c>
      <c r="M105" s="26">
        <v>8</v>
      </c>
      <c r="N105" s="18" t="s">
        <v>32</v>
      </c>
    </row>
    <row r="106" spans="1:14" x14ac:dyDescent="0.25">
      <c r="A106" s="18">
        <f t="shared" si="7"/>
        <v>417</v>
      </c>
      <c r="B106" s="24" t="s">
        <v>136</v>
      </c>
      <c r="C106" s="25">
        <v>42005</v>
      </c>
      <c r="D106" s="18" t="str">
        <f t="shared" si="9"/>
        <v>J</v>
      </c>
      <c r="E106" s="19">
        <f t="shared" si="10"/>
        <v>1</v>
      </c>
      <c r="F106" s="26">
        <v>23</v>
      </c>
      <c r="G106" s="26">
        <v>49</v>
      </c>
      <c r="H106" s="26">
        <v>32</v>
      </c>
      <c r="I106" s="26">
        <v>34</v>
      </c>
      <c r="J106" s="26">
        <v>11</v>
      </c>
      <c r="K106" s="26">
        <v>16</v>
      </c>
      <c r="L106" s="26">
        <v>45</v>
      </c>
      <c r="M106" s="26">
        <v>4</v>
      </c>
      <c r="N106" s="18" t="s">
        <v>32</v>
      </c>
    </row>
    <row r="107" spans="1:14" x14ac:dyDescent="0.25">
      <c r="A107" s="18">
        <f t="shared" si="7"/>
        <v>418</v>
      </c>
      <c r="B107" s="24" t="s">
        <v>137</v>
      </c>
      <c r="C107" s="25">
        <f>+C106+2</f>
        <v>42007</v>
      </c>
      <c r="D107" s="18" t="str">
        <f t="shared" si="9"/>
        <v>S</v>
      </c>
      <c r="E107" s="19">
        <f t="shared" si="10"/>
        <v>1</v>
      </c>
      <c r="F107" s="26">
        <v>25</v>
      </c>
      <c r="G107" s="26">
        <v>21</v>
      </c>
      <c r="H107" s="26">
        <v>30</v>
      </c>
      <c r="I107" s="26">
        <v>1</v>
      </c>
      <c r="J107" s="26">
        <v>28</v>
      </c>
      <c r="K107" s="26">
        <v>22</v>
      </c>
      <c r="L107" s="26">
        <v>6</v>
      </c>
      <c r="M107" s="26">
        <v>1</v>
      </c>
      <c r="N107" s="18" t="s">
        <v>32</v>
      </c>
    </row>
    <row r="108" spans="1:14" x14ac:dyDescent="0.25">
      <c r="A108" s="18">
        <f t="shared" si="7"/>
        <v>419</v>
      </c>
      <c r="B108" s="24" t="s">
        <v>138</v>
      </c>
      <c r="C108" s="25">
        <f>+C106+7</f>
        <v>42012</v>
      </c>
      <c r="D108" s="18" t="str">
        <f t="shared" si="9"/>
        <v>J</v>
      </c>
      <c r="E108" s="19">
        <f t="shared" si="10"/>
        <v>2</v>
      </c>
      <c r="F108" s="26">
        <v>10</v>
      </c>
      <c r="G108" s="26">
        <v>38</v>
      </c>
      <c r="H108" s="26">
        <v>2</v>
      </c>
      <c r="I108" s="26">
        <v>43</v>
      </c>
      <c r="J108" s="26">
        <v>40</v>
      </c>
      <c r="K108" s="26">
        <v>3</v>
      </c>
      <c r="L108" s="26">
        <v>42</v>
      </c>
      <c r="M108" s="26">
        <v>5</v>
      </c>
      <c r="N108" s="18" t="s">
        <v>32</v>
      </c>
    </row>
    <row r="109" spans="1:14" x14ac:dyDescent="0.25">
      <c r="A109" s="18">
        <f t="shared" si="7"/>
        <v>420</v>
      </c>
      <c r="B109" s="24" t="s">
        <v>139</v>
      </c>
      <c r="C109" s="25">
        <f>+C107+7</f>
        <v>42014</v>
      </c>
      <c r="D109" s="18" t="str">
        <f t="shared" si="9"/>
        <v>S</v>
      </c>
      <c r="E109" s="19">
        <f t="shared" si="10"/>
        <v>2</v>
      </c>
      <c r="F109" s="26">
        <v>41</v>
      </c>
      <c r="G109" s="26">
        <v>27</v>
      </c>
      <c r="H109" s="26">
        <v>37</v>
      </c>
      <c r="I109" s="26">
        <v>42</v>
      </c>
      <c r="J109" s="26">
        <v>49</v>
      </c>
      <c r="K109" s="26">
        <v>18</v>
      </c>
      <c r="L109" s="26">
        <v>20</v>
      </c>
      <c r="M109" s="26">
        <v>2</v>
      </c>
      <c r="N109" s="18" t="s">
        <v>32</v>
      </c>
    </row>
    <row r="110" spans="1:14" x14ac:dyDescent="0.25">
      <c r="A110" s="18">
        <f t="shared" si="7"/>
        <v>421</v>
      </c>
      <c r="B110" s="24" t="s">
        <v>140</v>
      </c>
      <c r="C110" s="25">
        <f t="shared" ref="C110:C136" si="12">C108+7</f>
        <v>42019</v>
      </c>
      <c r="D110" s="18" t="str">
        <f t="shared" si="9"/>
        <v>J</v>
      </c>
      <c r="E110" s="19">
        <f t="shared" si="10"/>
        <v>3</v>
      </c>
      <c r="F110" s="26">
        <v>4</v>
      </c>
      <c r="G110" s="26">
        <v>43</v>
      </c>
      <c r="H110" s="26">
        <v>13</v>
      </c>
      <c r="I110" s="26">
        <v>12</v>
      </c>
      <c r="J110" s="26">
        <v>24</v>
      </c>
      <c r="K110" s="26">
        <v>35</v>
      </c>
      <c r="L110" s="26">
        <v>44</v>
      </c>
      <c r="M110" s="26">
        <v>6</v>
      </c>
      <c r="N110" s="18" t="s">
        <v>32</v>
      </c>
    </row>
    <row r="111" spans="1:14" x14ac:dyDescent="0.25">
      <c r="A111" s="18">
        <f t="shared" si="7"/>
        <v>422</v>
      </c>
      <c r="B111" s="24" t="s">
        <v>141</v>
      </c>
      <c r="C111" s="25">
        <f t="shared" si="12"/>
        <v>42021</v>
      </c>
      <c r="D111" s="18" t="str">
        <f t="shared" si="9"/>
        <v>S</v>
      </c>
      <c r="E111" s="19">
        <f t="shared" si="10"/>
        <v>3</v>
      </c>
      <c r="F111" s="26">
        <v>30</v>
      </c>
      <c r="G111" s="26">
        <v>22</v>
      </c>
      <c r="H111" s="26">
        <v>13</v>
      </c>
      <c r="I111" s="26">
        <v>48</v>
      </c>
      <c r="J111" s="26">
        <v>29</v>
      </c>
      <c r="K111" s="26">
        <v>20</v>
      </c>
      <c r="L111" s="26">
        <v>4</v>
      </c>
      <c r="M111" s="26">
        <v>8</v>
      </c>
      <c r="N111" s="18" t="s">
        <v>32</v>
      </c>
    </row>
    <row r="112" spans="1:14" x14ac:dyDescent="0.25">
      <c r="A112" s="18">
        <f t="shared" si="7"/>
        <v>423</v>
      </c>
      <c r="B112" s="24" t="s">
        <v>142</v>
      </c>
      <c r="C112" s="25">
        <f t="shared" si="12"/>
        <v>42026</v>
      </c>
      <c r="D112" s="18" t="str">
        <f t="shared" si="9"/>
        <v>J</v>
      </c>
      <c r="E112" s="19">
        <f t="shared" si="10"/>
        <v>4</v>
      </c>
      <c r="F112" s="26">
        <v>38</v>
      </c>
      <c r="G112" s="26">
        <v>44</v>
      </c>
      <c r="H112" s="26">
        <v>20</v>
      </c>
      <c r="I112" s="26">
        <v>18</v>
      </c>
      <c r="J112" s="26">
        <v>14</v>
      </c>
      <c r="K112" s="26">
        <v>25</v>
      </c>
      <c r="L112" s="26">
        <v>34</v>
      </c>
      <c r="M112" s="26">
        <v>8</v>
      </c>
      <c r="N112" s="18" t="s">
        <v>32</v>
      </c>
    </row>
    <row r="113" spans="1:14" x14ac:dyDescent="0.25">
      <c r="A113" s="18">
        <f t="shared" si="7"/>
        <v>424</v>
      </c>
      <c r="B113" s="24" t="s">
        <v>143</v>
      </c>
      <c r="C113" s="25">
        <f t="shared" si="12"/>
        <v>42028</v>
      </c>
      <c r="D113" s="18" t="str">
        <f t="shared" si="9"/>
        <v>S</v>
      </c>
      <c r="E113" s="19">
        <f t="shared" si="10"/>
        <v>4</v>
      </c>
      <c r="F113" s="26">
        <v>16</v>
      </c>
      <c r="G113" s="26">
        <v>37</v>
      </c>
      <c r="H113" s="26">
        <v>36</v>
      </c>
      <c r="I113" s="26">
        <v>7</v>
      </c>
      <c r="J113" s="26">
        <v>47</v>
      </c>
      <c r="K113" s="26">
        <v>14</v>
      </c>
      <c r="L113" s="26">
        <v>29</v>
      </c>
      <c r="M113" s="26">
        <v>1</v>
      </c>
      <c r="N113" s="18" t="s">
        <v>32</v>
      </c>
    </row>
    <row r="114" spans="1:14" x14ac:dyDescent="0.25">
      <c r="A114" s="18">
        <f t="shared" si="7"/>
        <v>425</v>
      </c>
      <c r="B114" s="24" t="s">
        <v>144</v>
      </c>
      <c r="C114" s="25">
        <f t="shared" si="12"/>
        <v>42033</v>
      </c>
      <c r="D114" s="18" t="str">
        <f t="shared" si="9"/>
        <v>J</v>
      </c>
      <c r="E114" s="19">
        <f t="shared" si="10"/>
        <v>5</v>
      </c>
      <c r="F114" s="26">
        <v>31</v>
      </c>
      <c r="G114" s="26">
        <v>11</v>
      </c>
      <c r="H114" s="26">
        <v>43</v>
      </c>
      <c r="I114" s="26">
        <v>25</v>
      </c>
      <c r="J114" s="26">
        <v>6</v>
      </c>
      <c r="K114" s="26">
        <v>12</v>
      </c>
      <c r="L114" s="26">
        <v>28</v>
      </c>
      <c r="M114" s="26">
        <v>1</v>
      </c>
      <c r="N114" s="18" t="s">
        <v>32</v>
      </c>
    </row>
    <row r="115" spans="1:14" x14ac:dyDescent="0.25">
      <c r="A115" s="18">
        <f t="shared" si="7"/>
        <v>426</v>
      </c>
      <c r="B115" s="24" t="s">
        <v>145</v>
      </c>
      <c r="C115" s="25">
        <f t="shared" si="12"/>
        <v>42035</v>
      </c>
      <c r="D115" s="18" t="str">
        <f t="shared" si="9"/>
        <v>S</v>
      </c>
      <c r="E115" s="19">
        <f t="shared" si="10"/>
        <v>5</v>
      </c>
      <c r="F115" s="26">
        <v>48</v>
      </c>
      <c r="G115" s="26">
        <v>23</v>
      </c>
      <c r="H115" s="26">
        <v>38</v>
      </c>
      <c r="I115" s="26">
        <v>13</v>
      </c>
      <c r="J115" s="26">
        <v>42</v>
      </c>
      <c r="K115" s="26">
        <v>8</v>
      </c>
      <c r="L115" s="26">
        <v>31</v>
      </c>
      <c r="M115" s="26">
        <v>2</v>
      </c>
      <c r="N115" s="18" t="s">
        <v>32</v>
      </c>
    </row>
    <row r="116" spans="1:14" x14ac:dyDescent="0.25">
      <c r="A116" s="18">
        <f t="shared" si="7"/>
        <v>427</v>
      </c>
      <c r="B116" s="24" t="s">
        <v>146</v>
      </c>
      <c r="C116" s="25">
        <f t="shared" si="12"/>
        <v>42040</v>
      </c>
      <c r="D116" s="18" t="str">
        <f t="shared" si="9"/>
        <v>J</v>
      </c>
      <c r="E116" s="19">
        <f t="shared" si="10"/>
        <v>6</v>
      </c>
      <c r="F116" s="26">
        <v>4</v>
      </c>
      <c r="G116" s="26">
        <v>49</v>
      </c>
      <c r="H116" s="26">
        <v>34</v>
      </c>
      <c r="I116" s="26">
        <v>7</v>
      </c>
      <c r="J116" s="26">
        <v>46</v>
      </c>
      <c r="K116" s="26">
        <v>32</v>
      </c>
      <c r="L116" s="26">
        <v>6</v>
      </c>
      <c r="M116" s="26">
        <v>2</v>
      </c>
      <c r="N116" s="18" t="s">
        <v>32</v>
      </c>
    </row>
    <row r="117" spans="1:14" x14ac:dyDescent="0.25">
      <c r="A117" s="18">
        <f t="shared" si="7"/>
        <v>428</v>
      </c>
      <c r="B117" s="24" t="s">
        <v>147</v>
      </c>
      <c r="C117" s="25">
        <f t="shared" si="12"/>
        <v>42042</v>
      </c>
      <c r="D117" s="18" t="str">
        <f t="shared" si="9"/>
        <v>S</v>
      </c>
      <c r="E117" s="19">
        <f t="shared" si="10"/>
        <v>6</v>
      </c>
      <c r="F117" s="26">
        <v>30</v>
      </c>
      <c r="G117" s="26">
        <v>21</v>
      </c>
      <c r="H117" s="26">
        <v>38</v>
      </c>
      <c r="I117" s="26">
        <v>28</v>
      </c>
      <c r="J117" s="26">
        <v>42</v>
      </c>
      <c r="K117" s="26">
        <v>12</v>
      </c>
      <c r="L117" s="26">
        <v>47</v>
      </c>
      <c r="M117" s="26">
        <v>3</v>
      </c>
      <c r="N117" s="18" t="s">
        <v>32</v>
      </c>
    </row>
    <row r="118" spans="1:14" x14ac:dyDescent="0.25">
      <c r="A118" s="18">
        <f t="shared" si="7"/>
        <v>429</v>
      </c>
      <c r="B118" s="24" t="s">
        <v>148</v>
      </c>
      <c r="C118" s="25">
        <f t="shared" si="12"/>
        <v>42047</v>
      </c>
      <c r="D118" s="18" t="str">
        <f t="shared" si="9"/>
        <v>J</v>
      </c>
      <c r="E118" s="19">
        <f t="shared" si="10"/>
        <v>7</v>
      </c>
      <c r="F118" s="26">
        <v>37</v>
      </c>
      <c r="G118" s="26">
        <v>29</v>
      </c>
      <c r="H118" s="26">
        <v>49</v>
      </c>
      <c r="I118" s="26">
        <v>35</v>
      </c>
      <c r="J118" s="26">
        <v>13</v>
      </c>
      <c r="K118" s="26">
        <v>41</v>
      </c>
      <c r="L118" s="26">
        <v>21</v>
      </c>
      <c r="M118" s="26">
        <v>1</v>
      </c>
      <c r="N118" s="18" t="s">
        <v>32</v>
      </c>
    </row>
    <row r="119" spans="1:14" x14ac:dyDescent="0.25">
      <c r="A119" s="18">
        <f t="shared" si="7"/>
        <v>430</v>
      </c>
      <c r="B119" s="24" t="s">
        <v>149</v>
      </c>
      <c r="C119" s="25">
        <f t="shared" si="12"/>
        <v>42049</v>
      </c>
      <c r="D119" s="18" t="str">
        <f t="shared" si="9"/>
        <v>S</v>
      </c>
      <c r="E119" s="19">
        <f t="shared" si="10"/>
        <v>7</v>
      </c>
      <c r="F119" s="26">
        <v>4</v>
      </c>
      <c r="G119" s="26">
        <v>44</v>
      </c>
      <c r="H119" s="26">
        <v>33</v>
      </c>
      <c r="I119" s="26">
        <v>1</v>
      </c>
      <c r="J119" s="26">
        <v>47</v>
      </c>
      <c r="K119" s="26">
        <v>12</v>
      </c>
      <c r="L119" s="26">
        <v>27</v>
      </c>
      <c r="M119" s="26">
        <v>8</v>
      </c>
      <c r="N119" s="18" t="s">
        <v>32</v>
      </c>
    </row>
    <row r="120" spans="1:14" x14ac:dyDescent="0.25">
      <c r="A120" s="18">
        <f t="shared" si="7"/>
        <v>431</v>
      </c>
      <c r="B120" s="24" t="s">
        <v>150</v>
      </c>
      <c r="C120" s="25">
        <f t="shared" si="12"/>
        <v>42054</v>
      </c>
      <c r="D120" s="18" t="str">
        <f t="shared" si="9"/>
        <v>J</v>
      </c>
      <c r="E120" s="19">
        <f t="shared" si="10"/>
        <v>8</v>
      </c>
      <c r="F120" s="26">
        <v>20</v>
      </c>
      <c r="G120" s="26">
        <v>13</v>
      </c>
      <c r="H120" s="26">
        <v>24</v>
      </c>
      <c r="I120" s="26">
        <v>38</v>
      </c>
      <c r="J120" s="26">
        <v>11</v>
      </c>
      <c r="K120" s="26">
        <v>35</v>
      </c>
      <c r="L120" s="26">
        <v>46</v>
      </c>
      <c r="M120" s="26">
        <v>2</v>
      </c>
      <c r="N120" s="18" t="s">
        <v>32</v>
      </c>
    </row>
    <row r="121" spans="1:14" x14ac:dyDescent="0.25">
      <c r="A121" s="18">
        <f t="shared" si="7"/>
        <v>432</v>
      </c>
      <c r="B121" s="24" t="s">
        <v>151</v>
      </c>
      <c r="C121" s="25">
        <f t="shared" si="12"/>
        <v>42056</v>
      </c>
      <c r="D121" s="18" t="str">
        <f t="shared" si="9"/>
        <v>S</v>
      </c>
      <c r="E121" s="19">
        <f t="shared" si="10"/>
        <v>8</v>
      </c>
      <c r="F121" s="26">
        <v>9</v>
      </c>
      <c r="G121" s="26">
        <v>14</v>
      </c>
      <c r="H121" s="26">
        <v>24</v>
      </c>
      <c r="I121" s="26">
        <v>12</v>
      </c>
      <c r="J121" s="26">
        <v>40</v>
      </c>
      <c r="K121" s="26">
        <v>37</v>
      </c>
      <c r="L121" s="26">
        <v>7</v>
      </c>
      <c r="M121" s="26">
        <v>9</v>
      </c>
      <c r="N121" s="18" t="s">
        <v>32</v>
      </c>
    </row>
    <row r="122" spans="1:14" x14ac:dyDescent="0.25">
      <c r="A122" s="18">
        <f t="shared" si="7"/>
        <v>433</v>
      </c>
      <c r="B122" s="24" t="s">
        <v>152</v>
      </c>
      <c r="C122" s="25">
        <f t="shared" si="12"/>
        <v>42061</v>
      </c>
      <c r="D122" s="18" t="str">
        <f t="shared" si="9"/>
        <v>J</v>
      </c>
      <c r="E122" s="19">
        <f t="shared" si="10"/>
        <v>9</v>
      </c>
      <c r="F122" s="26">
        <v>20</v>
      </c>
      <c r="G122" s="26">
        <v>5</v>
      </c>
      <c r="H122" s="26">
        <v>30</v>
      </c>
      <c r="I122" s="26">
        <v>18</v>
      </c>
      <c r="J122" s="26">
        <v>22</v>
      </c>
      <c r="K122" s="26">
        <v>37</v>
      </c>
      <c r="L122" s="26">
        <v>42</v>
      </c>
      <c r="M122" s="26">
        <v>7</v>
      </c>
      <c r="N122" s="18" t="s">
        <v>32</v>
      </c>
    </row>
    <row r="123" spans="1:14" x14ac:dyDescent="0.25">
      <c r="A123" s="18">
        <f t="shared" si="7"/>
        <v>434</v>
      </c>
      <c r="B123" s="24" t="s">
        <v>153</v>
      </c>
      <c r="C123" s="25">
        <f t="shared" si="12"/>
        <v>42063</v>
      </c>
      <c r="D123" s="18" t="str">
        <f t="shared" si="9"/>
        <v>S</v>
      </c>
      <c r="E123" s="19">
        <f t="shared" si="10"/>
        <v>9</v>
      </c>
      <c r="F123" s="26">
        <v>23</v>
      </c>
      <c r="G123" s="26">
        <v>30</v>
      </c>
      <c r="H123" s="26">
        <v>8</v>
      </c>
      <c r="I123" s="26">
        <v>7</v>
      </c>
      <c r="J123" s="26">
        <v>48</v>
      </c>
      <c r="K123" s="26">
        <v>22</v>
      </c>
      <c r="L123" s="26">
        <v>39</v>
      </c>
      <c r="M123" s="26">
        <v>4</v>
      </c>
      <c r="N123" s="18" t="s">
        <v>32</v>
      </c>
    </row>
    <row r="124" spans="1:14" x14ac:dyDescent="0.25">
      <c r="A124" s="18">
        <f t="shared" si="7"/>
        <v>435</v>
      </c>
      <c r="B124" s="24" t="s">
        <v>154</v>
      </c>
      <c r="C124" s="25">
        <f t="shared" si="12"/>
        <v>42068</v>
      </c>
      <c r="D124" s="18" t="str">
        <f t="shared" si="9"/>
        <v>J</v>
      </c>
      <c r="E124" s="19">
        <f t="shared" si="10"/>
        <v>10</v>
      </c>
      <c r="F124" s="26">
        <v>5</v>
      </c>
      <c r="G124" s="26">
        <v>21</v>
      </c>
      <c r="H124" s="26">
        <v>28</v>
      </c>
      <c r="I124" s="26">
        <v>24</v>
      </c>
      <c r="J124" s="26">
        <v>44</v>
      </c>
      <c r="K124" s="26">
        <v>2</v>
      </c>
      <c r="L124" s="26">
        <v>30</v>
      </c>
      <c r="M124" s="26">
        <v>3</v>
      </c>
      <c r="N124" s="18" t="s">
        <v>32</v>
      </c>
    </row>
    <row r="125" spans="1:14" x14ac:dyDescent="0.25">
      <c r="A125" s="18">
        <f t="shared" si="7"/>
        <v>436</v>
      </c>
      <c r="B125" s="24" t="s">
        <v>155</v>
      </c>
      <c r="C125" s="25">
        <f t="shared" si="12"/>
        <v>42070</v>
      </c>
      <c r="D125" s="18" t="str">
        <f t="shared" si="9"/>
        <v>S</v>
      </c>
      <c r="E125" s="19">
        <f t="shared" si="10"/>
        <v>10</v>
      </c>
      <c r="F125" s="26">
        <v>20</v>
      </c>
      <c r="G125" s="26">
        <v>1</v>
      </c>
      <c r="H125" s="26">
        <v>45</v>
      </c>
      <c r="I125" s="26">
        <v>43</v>
      </c>
      <c r="J125" s="26">
        <v>8</v>
      </c>
      <c r="K125" s="26">
        <v>9</v>
      </c>
      <c r="L125" s="26">
        <v>36</v>
      </c>
      <c r="M125" s="26">
        <v>9</v>
      </c>
      <c r="N125" s="18" t="s">
        <v>32</v>
      </c>
    </row>
    <row r="126" spans="1:14" x14ac:dyDescent="0.25">
      <c r="A126" s="18">
        <f t="shared" si="7"/>
        <v>437</v>
      </c>
      <c r="B126" s="24" t="s">
        <v>156</v>
      </c>
      <c r="C126" s="25">
        <f t="shared" si="12"/>
        <v>42075</v>
      </c>
      <c r="D126" s="18" t="str">
        <f t="shared" si="9"/>
        <v>J</v>
      </c>
      <c r="E126" s="19">
        <f t="shared" si="10"/>
        <v>11</v>
      </c>
      <c r="F126" s="26">
        <v>43</v>
      </c>
      <c r="G126" s="26">
        <v>19</v>
      </c>
      <c r="H126" s="26">
        <v>30</v>
      </c>
      <c r="I126" s="26">
        <v>34</v>
      </c>
      <c r="J126" s="26">
        <v>45</v>
      </c>
      <c r="K126" s="26">
        <v>18</v>
      </c>
      <c r="L126" s="26">
        <v>10</v>
      </c>
      <c r="M126" s="26">
        <v>0</v>
      </c>
      <c r="N126" s="18" t="s">
        <v>32</v>
      </c>
    </row>
    <row r="127" spans="1:14" x14ac:dyDescent="0.25">
      <c r="A127" s="18">
        <f t="shared" si="7"/>
        <v>438</v>
      </c>
      <c r="B127" s="24" t="s">
        <v>157</v>
      </c>
      <c r="C127" s="25">
        <f t="shared" si="12"/>
        <v>42077</v>
      </c>
      <c r="D127" s="18" t="str">
        <f t="shared" si="9"/>
        <v>S</v>
      </c>
      <c r="E127" s="19">
        <f t="shared" si="10"/>
        <v>11</v>
      </c>
      <c r="F127" s="26">
        <v>39</v>
      </c>
      <c r="G127" s="26">
        <v>32</v>
      </c>
      <c r="H127" s="26">
        <v>34</v>
      </c>
      <c r="I127" s="26">
        <v>9</v>
      </c>
      <c r="J127" s="26">
        <v>8</v>
      </c>
      <c r="K127" s="26">
        <v>47</v>
      </c>
      <c r="L127" s="26">
        <v>35</v>
      </c>
      <c r="M127" s="26">
        <v>7</v>
      </c>
      <c r="N127" s="18" t="s">
        <v>32</v>
      </c>
    </row>
    <row r="128" spans="1:14" x14ac:dyDescent="0.25">
      <c r="A128" s="18">
        <f t="shared" si="7"/>
        <v>439</v>
      </c>
      <c r="B128" s="24" t="s">
        <v>158</v>
      </c>
      <c r="C128" s="25">
        <f t="shared" si="12"/>
        <v>42082</v>
      </c>
      <c r="D128" s="18" t="str">
        <f t="shared" si="9"/>
        <v>J</v>
      </c>
      <c r="E128" s="19">
        <f t="shared" si="10"/>
        <v>12</v>
      </c>
      <c r="F128" s="26">
        <v>1</v>
      </c>
      <c r="G128" s="26">
        <v>27</v>
      </c>
      <c r="H128" s="26">
        <v>15</v>
      </c>
      <c r="I128" s="26">
        <v>11</v>
      </c>
      <c r="J128" s="26">
        <v>30</v>
      </c>
      <c r="K128" s="26">
        <v>23</v>
      </c>
      <c r="L128" s="26">
        <v>46</v>
      </c>
      <c r="M128" s="26">
        <v>5</v>
      </c>
      <c r="N128" s="18" t="s">
        <v>32</v>
      </c>
    </row>
    <row r="129" spans="1:14" x14ac:dyDescent="0.25">
      <c r="A129" s="18">
        <f t="shared" si="7"/>
        <v>440</v>
      </c>
      <c r="B129" s="24" t="s">
        <v>159</v>
      </c>
      <c r="C129" s="25">
        <f t="shared" si="12"/>
        <v>42084</v>
      </c>
      <c r="D129" s="18" t="str">
        <f t="shared" si="9"/>
        <v>S</v>
      </c>
      <c r="E129" s="19">
        <f t="shared" si="10"/>
        <v>12</v>
      </c>
      <c r="F129" s="26">
        <v>11</v>
      </c>
      <c r="G129" s="26">
        <v>4</v>
      </c>
      <c r="H129" s="26">
        <v>23</v>
      </c>
      <c r="I129" s="26">
        <v>5</v>
      </c>
      <c r="J129" s="26">
        <v>40</v>
      </c>
      <c r="K129" s="26">
        <v>44</v>
      </c>
      <c r="L129" s="26">
        <v>19</v>
      </c>
      <c r="M129" s="26">
        <v>3</v>
      </c>
      <c r="N129" s="18" t="s">
        <v>32</v>
      </c>
    </row>
    <row r="130" spans="1:14" x14ac:dyDescent="0.25">
      <c r="A130" s="18">
        <f t="shared" si="7"/>
        <v>441</v>
      </c>
      <c r="B130" s="24" t="s">
        <v>160</v>
      </c>
      <c r="C130" s="25">
        <f t="shared" si="12"/>
        <v>42089</v>
      </c>
      <c r="D130" s="18" t="str">
        <f t="shared" si="9"/>
        <v>J</v>
      </c>
      <c r="E130" s="19">
        <f t="shared" si="10"/>
        <v>13</v>
      </c>
      <c r="F130" s="26">
        <v>38</v>
      </c>
      <c r="G130" s="26">
        <v>23</v>
      </c>
      <c r="H130" s="26">
        <v>49</v>
      </c>
      <c r="I130" s="26">
        <v>46</v>
      </c>
      <c r="J130" s="26">
        <v>35</v>
      </c>
      <c r="K130" s="26">
        <v>11</v>
      </c>
      <c r="L130" s="26">
        <v>2</v>
      </c>
      <c r="M130" s="26">
        <v>0</v>
      </c>
      <c r="N130" s="18" t="s">
        <v>32</v>
      </c>
    </row>
    <row r="131" spans="1:14" x14ac:dyDescent="0.25">
      <c r="A131" s="18">
        <f t="shared" si="7"/>
        <v>442</v>
      </c>
      <c r="B131" s="24" t="s">
        <v>161</v>
      </c>
      <c r="C131" s="25">
        <f t="shared" si="12"/>
        <v>42091</v>
      </c>
      <c r="D131" s="18" t="str">
        <f t="shared" si="9"/>
        <v>S</v>
      </c>
      <c r="E131" s="19">
        <f t="shared" si="10"/>
        <v>13</v>
      </c>
      <c r="F131" s="26">
        <v>2</v>
      </c>
      <c r="G131" s="26">
        <v>38</v>
      </c>
      <c r="H131" s="26">
        <v>1</v>
      </c>
      <c r="I131" s="26">
        <v>17</v>
      </c>
      <c r="J131" s="26">
        <v>49</v>
      </c>
      <c r="K131" s="26">
        <v>7</v>
      </c>
      <c r="L131" s="26">
        <v>22</v>
      </c>
      <c r="M131" s="26">
        <v>5</v>
      </c>
      <c r="N131" s="18" t="s">
        <v>32</v>
      </c>
    </row>
    <row r="132" spans="1:14" x14ac:dyDescent="0.25">
      <c r="A132" s="18">
        <f t="shared" ref="A132:A195" si="13">+A131+1</f>
        <v>443</v>
      </c>
      <c r="B132" s="24" t="s">
        <v>162</v>
      </c>
      <c r="C132" s="25">
        <f t="shared" si="12"/>
        <v>42096</v>
      </c>
      <c r="D132" s="18" t="str">
        <f t="shared" si="9"/>
        <v>J</v>
      </c>
      <c r="E132" s="19">
        <f t="shared" si="10"/>
        <v>14</v>
      </c>
      <c r="F132" s="26">
        <v>30</v>
      </c>
      <c r="G132" s="26">
        <v>14</v>
      </c>
      <c r="H132" s="26">
        <v>18</v>
      </c>
      <c r="I132" s="26">
        <v>5</v>
      </c>
      <c r="J132" s="26">
        <v>48</v>
      </c>
      <c r="K132" s="26">
        <v>46</v>
      </c>
      <c r="L132" s="26">
        <v>1</v>
      </c>
      <c r="M132" s="26">
        <v>8</v>
      </c>
      <c r="N132" s="18" t="s">
        <v>32</v>
      </c>
    </row>
    <row r="133" spans="1:14" x14ac:dyDescent="0.25">
      <c r="A133" s="18">
        <f t="shared" si="13"/>
        <v>444</v>
      </c>
      <c r="B133" s="24" t="s">
        <v>163</v>
      </c>
      <c r="C133" s="25">
        <f t="shared" si="12"/>
        <v>42098</v>
      </c>
      <c r="D133" s="18" t="str">
        <f t="shared" si="9"/>
        <v>S</v>
      </c>
      <c r="E133" s="19">
        <f t="shared" si="10"/>
        <v>14</v>
      </c>
      <c r="F133" s="26">
        <v>11</v>
      </c>
      <c r="G133" s="26">
        <v>27</v>
      </c>
      <c r="H133" s="26">
        <v>21</v>
      </c>
      <c r="I133" s="26">
        <v>33</v>
      </c>
      <c r="J133" s="26">
        <v>15</v>
      </c>
      <c r="K133" s="26">
        <v>16</v>
      </c>
      <c r="L133" s="26">
        <v>24</v>
      </c>
      <c r="M133" s="26">
        <v>9</v>
      </c>
      <c r="N133" s="18" t="s">
        <v>32</v>
      </c>
    </row>
    <row r="134" spans="1:14" x14ac:dyDescent="0.25">
      <c r="A134" s="18">
        <f t="shared" si="13"/>
        <v>445</v>
      </c>
      <c r="B134" s="24" t="s">
        <v>164</v>
      </c>
      <c r="C134" s="25">
        <f t="shared" si="12"/>
        <v>42103</v>
      </c>
      <c r="D134" s="18" t="str">
        <f t="shared" si="9"/>
        <v>J</v>
      </c>
      <c r="E134" s="19">
        <f t="shared" si="10"/>
        <v>15</v>
      </c>
      <c r="F134" s="26">
        <v>4</v>
      </c>
      <c r="G134" s="26">
        <v>8</v>
      </c>
      <c r="H134" s="26">
        <v>46</v>
      </c>
      <c r="I134" s="26">
        <v>13</v>
      </c>
      <c r="J134" s="26">
        <v>16</v>
      </c>
      <c r="K134" s="26">
        <v>39</v>
      </c>
      <c r="L134" s="26">
        <v>35</v>
      </c>
      <c r="M134" s="26">
        <v>6</v>
      </c>
      <c r="N134" s="18" t="s">
        <v>32</v>
      </c>
    </row>
    <row r="135" spans="1:14" x14ac:dyDescent="0.25">
      <c r="A135" s="18">
        <f t="shared" si="13"/>
        <v>446</v>
      </c>
      <c r="B135" s="24" t="s">
        <v>165</v>
      </c>
      <c r="C135" s="25">
        <f t="shared" si="12"/>
        <v>42105</v>
      </c>
      <c r="D135" s="18" t="str">
        <f t="shared" si="9"/>
        <v>S</v>
      </c>
      <c r="E135" s="19">
        <f t="shared" si="10"/>
        <v>15</v>
      </c>
      <c r="F135" s="26">
        <v>23</v>
      </c>
      <c r="G135" s="26">
        <v>28</v>
      </c>
      <c r="H135" s="26">
        <v>24</v>
      </c>
      <c r="I135" s="26">
        <v>9</v>
      </c>
      <c r="J135" s="26">
        <v>41</v>
      </c>
      <c r="K135" s="26">
        <v>35</v>
      </c>
      <c r="L135" s="26">
        <v>8</v>
      </c>
      <c r="M135" s="26">
        <v>3</v>
      </c>
      <c r="N135" s="18" t="s">
        <v>32</v>
      </c>
    </row>
    <row r="136" spans="1:14" x14ac:dyDescent="0.25">
      <c r="A136" s="18">
        <f t="shared" si="13"/>
        <v>447</v>
      </c>
      <c r="B136" s="24" t="s">
        <v>166</v>
      </c>
      <c r="C136" s="25">
        <f t="shared" si="12"/>
        <v>42110</v>
      </c>
      <c r="D136" s="18" t="str">
        <f t="shared" si="9"/>
        <v>J</v>
      </c>
      <c r="E136" s="19">
        <f t="shared" si="10"/>
        <v>16</v>
      </c>
      <c r="F136" s="26">
        <v>37</v>
      </c>
      <c r="G136" s="26">
        <v>31</v>
      </c>
      <c r="H136" s="26">
        <v>38</v>
      </c>
      <c r="I136" s="26">
        <v>47</v>
      </c>
      <c r="J136" s="26">
        <v>7</v>
      </c>
      <c r="K136" s="26">
        <v>32</v>
      </c>
      <c r="L136" s="26">
        <v>20</v>
      </c>
      <c r="M136" s="26">
        <v>3</v>
      </c>
      <c r="N136" s="18" t="s">
        <v>32</v>
      </c>
    </row>
    <row r="137" spans="1:14" x14ac:dyDescent="0.25">
      <c r="A137" s="18">
        <f t="shared" si="13"/>
        <v>448</v>
      </c>
      <c r="B137" s="24" t="s">
        <v>167</v>
      </c>
      <c r="C137" s="25">
        <v>42112</v>
      </c>
      <c r="D137" s="18" t="str">
        <f t="shared" si="9"/>
        <v>S</v>
      </c>
      <c r="E137" s="19">
        <f t="shared" si="10"/>
        <v>16</v>
      </c>
      <c r="F137" s="26">
        <v>4</v>
      </c>
      <c r="G137" s="26">
        <v>6</v>
      </c>
      <c r="H137" s="26">
        <v>17</v>
      </c>
      <c r="I137" s="26">
        <v>18</v>
      </c>
      <c r="J137" s="26">
        <v>36</v>
      </c>
      <c r="K137" s="26">
        <v>38</v>
      </c>
      <c r="L137" s="26">
        <v>15</v>
      </c>
      <c r="M137" s="26">
        <v>5</v>
      </c>
      <c r="N137" s="18" t="s">
        <v>32</v>
      </c>
    </row>
    <row r="138" spans="1:14" x14ac:dyDescent="0.25">
      <c r="A138" s="18">
        <f t="shared" si="13"/>
        <v>449</v>
      </c>
      <c r="B138" s="24" t="s">
        <v>168</v>
      </c>
      <c r="C138" s="25">
        <v>42117</v>
      </c>
      <c r="D138" s="18" t="str">
        <f t="shared" si="9"/>
        <v>J</v>
      </c>
      <c r="E138" s="19">
        <f t="shared" si="10"/>
        <v>17</v>
      </c>
      <c r="F138" s="26">
        <v>2</v>
      </c>
      <c r="G138" s="26">
        <v>14</v>
      </c>
      <c r="H138" s="26">
        <v>16</v>
      </c>
      <c r="I138" s="26">
        <v>23</v>
      </c>
      <c r="J138" s="26">
        <v>31</v>
      </c>
      <c r="K138" s="26">
        <v>49</v>
      </c>
      <c r="L138" s="26">
        <v>21</v>
      </c>
      <c r="M138" s="26">
        <v>9</v>
      </c>
      <c r="N138" s="18" t="s">
        <v>32</v>
      </c>
    </row>
    <row r="139" spans="1:14" x14ac:dyDescent="0.25">
      <c r="A139" s="18">
        <f t="shared" si="13"/>
        <v>450</v>
      </c>
      <c r="B139" s="24" t="s">
        <v>169</v>
      </c>
      <c r="C139" s="25">
        <v>42119</v>
      </c>
      <c r="D139" s="18" t="str">
        <f t="shared" si="9"/>
        <v>S</v>
      </c>
      <c r="E139" s="19">
        <f t="shared" si="10"/>
        <v>17</v>
      </c>
      <c r="F139" s="26">
        <v>3</v>
      </c>
      <c r="G139" s="26">
        <v>29</v>
      </c>
      <c r="H139" s="26">
        <v>33</v>
      </c>
      <c r="I139" s="26">
        <v>43</v>
      </c>
      <c r="J139" s="26">
        <v>47</v>
      </c>
      <c r="K139" s="26">
        <v>48</v>
      </c>
      <c r="L139" s="26">
        <v>38</v>
      </c>
      <c r="M139" s="26">
        <v>5</v>
      </c>
      <c r="N139" s="18" t="s">
        <v>32</v>
      </c>
    </row>
    <row r="140" spans="1:14" x14ac:dyDescent="0.25">
      <c r="A140" s="18">
        <f t="shared" si="13"/>
        <v>451</v>
      </c>
      <c r="B140" s="24" t="s">
        <v>170</v>
      </c>
      <c r="C140" s="25">
        <v>42124</v>
      </c>
      <c r="D140" s="18" t="str">
        <f t="shared" si="9"/>
        <v>J</v>
      </c>
      <c r="E140" s="19">
        <f t="shared" si="10"/>
        <v>18</v>
      </c>
      <c r="F140" s="26">
        <v>1</v>
      </c>
      <c r="G140" s="26">
        <v>8</v>
      </c>
      <c r="H140" s="26">
        <v>10</v>
      </c>
      <c r="I140" s="26">
        <v>32</v>
      </c>
      <c r="J140" s="26">
        <v>38</v>
      </c>
      <c r="K140" s="26">
        <v>40</v>
      </c>
      <c r="L140" s="26">
        <v>12</v>
      </c>
      <c r="M140" s="26">
        <v>7</v>
      </c>
      <c r="N140" s="18" t="s">
        <v>32</v>
      </c>
    </row>
    <row r="141" spans="1:14" x14ac:dyDescent="0.25">
      <c r="A141" s="18">
        <f t="shared" si="13"/>
        <v>452</v>
      </c>
      <c r="B141" s="24" t="s">
        <v>171</v>
      </c>
      <c r="C141" s="25">
        <v>42126</v>
      </c>
      <c r="D141" s="18" t="str">
        <f t="shared" si="9"/>
        <v>S</v>
      </c>
      <c r="E141" s="19">
        <f t="shared" si="10"/>
        <v>18</v>
      </c>
      <c r="F141" s="26">
        <v>7</v>
      </c>
      <c r="G141" s="26">
        <v>13</v>
      </c>
      <c r="H141" s="26">
        <v>36</v>
      </c>
      <c r="I141" s="26">
        <v>39</v>
      </c>
      <c r="J141" s="26">
        <v>48</v>
      </c>
      <c r="K141" s="26">
        <v>49</v>
      </c>
      <c r="L141" s="26">
        <v>25</v>
      </c>
      <c r="M141" s="26">
        <v>4</v>
      </c>
      <c r="N141" s="18" t="s">
        <v>32</v>
      </c>
    </row>
    <row r="142" spans="1:14" x14ac:dyDescent="0.25">
      <c r="A142" s="18">
        <f t="shared" si="13"/>
        <v>453</v>
      </c>
      <c r="B142" s="24" t="s">
        <v>172</v>
      </c>
      <c r="C142" s="25">
        <v>42131</v>
      </c>
      <c r="D142" s="18" t="str">
        <f t="shared" si="9"/>
        <v>J</v>
      </c>
      <c r="E142" s="19">
        <f t="shared" si="10"/>
        <v>19</v>
      </c>
      <c r="F142" s="26">
        <v>9</v>
      </c>
      <c r="G142" s="26">
        <v>11</v>
      </c>
      <c r="H142" s="26">
        <v>14</v>
      </c>
      <c r="I142" s="26">
        <v>35</v>
      </c>
      <c r="J142" s="26">
        <v>45</v>
      </c>
      <c r="K142" s="26">
        <v>47</v>
      </c>
      <c r="L142" s="26">
        <v>27</v>
      </c>
      <c r="M142" s="26">
        <v>3</v>
      </c>
      <c r="N142" s="18" t="s">
        <v>32</v>
      </c>
    </row>
    <row r="143" spans="1:14" x14ac:dyDescent="0.25">
      <c r="A143" s="18">
        <f t="shared" si="13"/>
        <v>454</v>
      </c>
      <c r="B143" s="24" t="s">
        <v>173</v>
      </c>
      <c r="C143" s="25">
        <v>42133</v>
      </c>
      <c r="D143" s="18" t="str">
        <f t="shared" si="9"/>
        <v>S</v>
      </c>
      <c r="E143" s="19">
        <f t="shared" si="10"/>
        <v>19</v>
      </c>
      <c r="F143" s="26">
        <v>16</v>
      </c>
      <c r="G143" s="26">
        <v>27</v>
      </c>
      <c r="H143" s="26">
        <v>29</v>
      </c>
      <c r="I143" s="26">
        <v>34</v>
      </c>
      <c r="J143" s="26">
        <v>38</v>
      </c>
      <c r="K143" s="26">
        <v>43</v>
      </c>
      <c r="L143" s="26">
        <v>1</v>
      </c>
      <c r="M143" s="26">
        <v>8</v>
      </c>
      <c r="N143" s="18" t="s">
        <v>32</v>
      </c>
    </row>
    <row r="144" spans="1:14" x14ac:dyDescent="0.25">
      <c r="A144" s="18">
        <f t="shared" si="13"/>
        <v>455</v>
      </c>
      <c r="B144" s="24" t="s">
        <v>174</v>
      </c>
      <c r="C144" s="25">
        <v>42138</v>
      </c>
      <c r="D144" s="18" t="str">
        <f t="shared" si="9"/>
        <v>J</v>
      </c>
      <c r="E144" s="19">
        <f t="shared" si="10"/>
        <v>20</v>
      </c>
      <c r="F144" s="26">
        <v>3</v>
      </c>
      <c r="G144" s="26">
        <v>8</v>
      </c>
      <c r="H144" s="26">
        <v>12</v>
      </c>
      <c r="I144" s="26">
        <v>22</v>
      </c>
      <c r="J144" s="26">
        <v>29</v>
      </c>
      <c r="K144" s="26">
        <v>49</v>
      </c>
      <c r="L144" s="26">
        <v>13</v>
      </c>
      <c r="M144" s="26">
        <v>7</v>
      </c>
      <c r="N144" s="18" t="s">
        <v>32</v>
      </c>
    </row>
    <row r="145" spans="1:14" x14ac:dyDescent="0.25">
      <c r="A145" s="18">
        <f t="shared" si="13"/>
        <v>456</v>
      </c>
      <c r="B145" s="24" t="s">
        <v>175</v>
      </c>
      <c r="C145" s="25">
        <v>42140</v>
      </c>
      <c r="D145" s="18" t="str">
        <f t="shared" si="9"/>
        <v>S</v>
      </c>
      <c r="E145" s="19">
        <f t="shared" si="10"/>
        <v>20</v>
      </c>
      <c r="F145" s="26">
        <v>2</v>
      </c>
      <c r="G145" s="26">
        <v>18</v>
      </c>
      <c r="H145" s="26">
        <v>20</v>
      </c>
      <c r="I145" s="26">
        <v>35</v>
      </c>
      <c r="J145" s="26">
        <v>43</v>
      </c>
      <c r="K145" s="26">
        <v>44</v>
      </c>
      <c r="L145" s="26">
        <v>15</v>
      </c>
      <c r="M145" s="26">
        <v>2</v>
      </c>
      <c r="N145" s="18" t="s">
        <v>32</v>
      </c>
    </row>
    <row r="146" spans="1:14" x14ac:dyDescent="0.25">
      <c r="A146" s="18">
        <f t="shared" si="13"/>
        <v>457</v>
      </c>
      <c r="B146" s="24" t="s">
        <v>176</v>
      </c>
      <c r="C146" s="25">
        <v>42145</v>
      </c>
      <c r="D146" s="18" t="str">
        <f t="shared" si="9"/>
        <v>J</v>
      </c>
      <c r="E146" s="19">
        <f t="shared" si="10"/>
        <v>21</v>
      </c>
      <c r="F146" s="26">
        <v>8</v>
      </c>
      <c r="G146" s="26">
        <v>9</v>
      </c>
      <c r="H146" s="26">
        <v>18</v>
      </c>
      <c r="I146" s="26">
        <v>30</v>
      </c>
      <c r="J146" s="26">
        <v>33</v>
      </c>
      <c r="K146" s="26">
        <v>39</v>
      </c>
      <c r="L146" s="26">
        <v>7</v>
      </c>
      <c r="M146" s="26">
        <v>4</v>
      </c>
      <c r="N146" s="18" t="s">
        <v>32</v>
      </c>
    </row>
    <row r="147" spans="1:14" x14ac:dyDescent="0.25">
      <c r="A147" s="18">
        <f t="shared" si="13"/>
        <v>458</v>
      </c>
      <c r="B147" s="24" t="s">
        <v>177</v>
      </c>
      <c r="C147" s="25">
        <v>42147</v>
      </c>
      <c r="D147" s="18" t="str">
        <f t="shared" si="9"/>
        <v>S</v>
      </c>
      <c r="E147" s="19">
        <f t="shared" si="10"/>
        <v>21</v>
      </c>
      <c r="F147" s="26">
        <v>2</v>
      </c>
      <c r="G147" s="26">
        <v>4</v>
      </c>
      <c r="H147" s="26">
        <v>6</v>
      </c>
      <c r="I147" s="26">
        <v>31</v>
      </c>
      <c r="J147" s="26">
        <v>39</v>
      </c>
      <c r="K147" s="26">
        <v>42</v>
      </c>
      <c r="L147" s="26">
        <v>33</v>
      </c>
      <c r="M147" s="26">
        <v>7</v>
      </c>
      <c r="N147" s="18" t="s">
        <v>32</v>
      </c>
    </row>
    <row r="148" spans="1:14" x14ac:dyDescent="0.25">
      <c r="A148" s="18">
        <f t="shared" si="13"/>
        <v>459</v>
      </c>
      <c r="B148" s="24" t="s">
        <v>178</v>
      </c>
      <c r="C148" s="25">
        <v>42152</v>
      </c>
      <c r="D148" s="18" t="str">
        <f t="shared" si="9"/>
        <v>J</v>
      </c>
      <c r="E148" s="19">
        <f t="shared" si="10"/>
        <v>22</v>
      </c>
      <c r="F148" s="26">
        <v>16</v>
      </c>
      <c r="G148" s="26">
        <v>36</v>
      </c>
      <c r="H148" s="26">
        <v>41</v>
      </c>
      <c r="I148" s="26">
        <v>47</v>
      </c>
      <c r="J148" s="26">
        <v>48</v>
      </c>
      <c r="K148" s="26">
        <v>49</v>
      </c>
      <c r="L148" s="26">
        <v>31</v>
      </c>
      <c r="M148" s="26">
        <v>4</v>
      </c>
      <c r="N148" s="18" t="s">
        <v>32</v>
      </c>
    </row>
    <row r="149" spans="1:14" x14ac:dyDescent="0.25">
      <c r="A149" s="18">
        <f t="shared" si="13"/>
        <v>460</v>
      </c>
      <c r="B149" s="24" t="s">
        <v>179</v>
      </c>
      <c r="C149" s="25">
        <v>42154</v>
      </c>
      <c r="D149" s="18" t="str">
        <f t="shared" si="9"/>
        <v>S</v>
      </c>
      <c r="E149" s="19">
        <f t="shared" si="10"/>
        <v>22</v>
      </c>
      <c r="F149" s="26">
        <v>17</v>
      </c>
      <c r="G149" s="26">
        <v>20</v>
      </c>
      <c r="H149" s="26">
        <v>27</v>
      </c>
      <c r="I149" s="26">
        <v>29</v>
      </c>
      <c r="J149" s="26">
        <v>35</v>
      </c>
      <c r="K149" s="26">
        <v>40</v>
      </c>
      <c r="L149" s="26">
        <v>36</v>
      </c>
      <c r="M149" s="26">
        <v>5</v>
      </c>
      <c r="N149" s="18" t="s">
        <v>32</v>
      </c>
    </row>
    <row r="150" spans="1:14" x14ac:dyDescent="0.25">
      <c r="A150" s="18">
        <f t="shared" si="13"/>
        <v>461</v>
      </c>
      <c r="B150" s="24" t="s">
        <v>180</v>
      </c>
      <c r="C150" s="25">
        <v>42159</v>
      </c>
      <c r="D150" s="18" t="str">
        <f t="shared" si="9"/>
        <v>J</v>
      </c>
      <c r="E150" s="19">
        <f t="shared" si="10"/>
        <v>23</v>
      </c>
      <c r="F150" s="26">
        <v>3</v>
      </c>
      <c r="G150" s="26">
        <v>10</v>
      </c>
      <c r="H150" s="26">
        <v>13</v>
      </c>
      <c r="I150" s="26">
        <v>30</v>
      </c>
      <c r="J150" s="26">
        <v>33</v>
      </c>
      <c r="K150" s="26">
        <v>47</v>
      </c>
      <c r="L150" s="26">
        <v>27</v>
      </c>
      <c r="M150" s="26">
        <v>7</v>
      </c>
      <c r="N150" s="18" t="s">
        <v>32</v>
      </c>
    </row>
    <row r="151" spans="1:14" x14ac:dyDescent="0.25">
      <c r="A151" s="18">
        <f t="shared" si="13"/>
        <v>462</v>
      </c>
      <c r="B151" s="24" t="s">
        <v>181</v>
      </c>
      <c r="C151" s="25">
        <v>42161</v>
      </c>
      <c r="D151" s="18" t="str">
        <f t="shared" si="9"/>
        <v>S</v>
      </c>
      <c r="E151" s="19">
        <f t="shared" si="10"/>
        <v>23</v>
      </c>
      <c r="F151" s="26">
        <v>3</v>
      </c>
      <c r="G151" s="26">
        <v>28</v>
      </c>
      <c r="H151" s="26">
        <v>30</v>
      </c>
      <c r="I151" s="26">
        <v>31</v>
      </c>
      <c r="J151" s="26">
        <v>36</v>
      </c>
      <c r="K151" s="26">
        <v>41</v>
      </c>
      <c r="L151" s="26">
        <v>49</v>
      </c>
      <c r="M151" s="26">
        <v>7</v>
      </c>
      <c r="N151" s="18" t="s">
        <v>32</v>
      </c>
    </row>
    <row r="152" spans="1:14" x14ac:dyDescent="0.25">
      <c r="A152" s="18">
        <f t="shared" si="13"/>
        <v>463</v>
      </c>
      <c r="B152" s="24" t="s">
        <v>182</v>
      </c>
      <c r="C152" s="25">
        <v>42166</v>
      </c>
      <c r="D152" s="18" t="str">
        <f t="shared" si="9"/>
        <v>J</v>
      </c>
      <c r="E152" s="19">
        <f t="shared" si="10"/>
        <v>24</v>
      </c>
      <c r="F152" s="26">
        <v>11</v>
      </c>
      <c r="G152" s="26">
        <v>15</v>
      </c>
      <c r="H152" s="26">
        <v>21</v>
      </c>
      <c r="I152" s="26">
        <v>25</v>
      </c>
      <c r="J152" s="26">
        <v>38</v>
      </c>
      <c r="K152" s="26">
        <v>44</v>
      </c>
      <c r="L152" s="26">
        <v>2</v>
      </c>
      <c r="M152" s="26">
        <v>2</v>
      </c>
      <c r="N152" s="18" t="s">
        <v>32</v>
      </c>
    </row>
    <row r="153" spans="1:14" x14ac:dyDescent="0.25">
      <c r="A153" s="18">
        <f t="shared" si="13"/>
        <v>464</v>
      </c>
      <c r="B153" s="24" t="s">
        <v>183</v>
      </c>
      <c r="C153" s="25">
        <v>42168</v>
      </c>
      <c r="D153" s="18" t="str">
        <f t="shared" si="9"/>
        <v>S</v>
      </c>
      <c r="E153" s="19">
        <f t="shared" si="10"/>
        <v>24</v>
      </c>
      <c r="F153" s="26">
        <v>24</v>
      </c>
      <c r="G153" s="26">
        <v>37</v>
      </c>
      <c r="H153" s="26">
        <v>40</v>
      </c>
      <c r="I153" s="26">
        <v>41</v>
      </c>
      <c r="J153" s="26">
        <v>43</v>
      </c>
      <c r="K153" s="26">
        <v>46</v>
      </c>
      <c r="L153" s="26">
        <v>47</v>
      </c>
      <c r="M153" s="26">
        <v>3</v>
      </c>
      <c r="N153" s="18" t="s">
        <v>32</v>
      </c>
    </row>
    <row r="154" spans="1:14" x14ac:dyDescent="0.25">
      <c r="A154" s="18">
        <f t="shared" si="13"/>
        <v>465</v>
      </c>
      <c r="B154" s="24" t="s">
        <v>184</v>
      </c>
      <c r="C154" s="25">
        <v>42173</v>
      </c>
      <c r="D154" s="18" t="str">
        <f t="shared" ref="D154:D217" si="14">CHOOSE(WEEKDAY(C154),"D","L","M","X","J","V","S")</f>
        <v>J</v>
      </c>
      <c r="E154" s="19">
        <f t="shared" ref="E154:E217" si="15">WEEKNUM(C154,21)</f>
        <v>25</v>
      </c>
      <c r="F154" s="26">
        <v>11</v>
      </c>
      <c r="G154" s="26">
        <v>14</v>
      </c>
      <c r="H154" s="26">
        <v>19</v>
      </c>
      <c r="I154" s="26">
        <v>24</v>
      </c>
      <c r="J154" s="26">
        <v>39</v>
      </c>
      <c r="K154" s="26">
        <v>43</v>
      </c>
      <c r="L154" s="26">
        <v>42</v>
      </c>
      <c r="M154" s="26">
        <v>2</v>
      </c>
      <c r="N154" s="18" t="s">
        <v>32</v>
      </c>
    </row>
    <row r="155" spans="1:14" x14ac:dyDescent="0.25">
      <c r="A155" s="18">
        <f t="shared" si="13"/>
        <v>466</v>
      </c>
      <c r="B155" s="24" t="s">
        <v>185</v>
      </c>
      <c r="C155" s="25">
        <v>42175</v>
      </c>
      <c r="D155" s="18" t="str">
        <f t="shared" si="14"/>
        <v>S</v>
      </c>
      <c r="E155" s="19">
        <f t="shared" si="15"/>
        <v>25</v>
      </c>
      <c r="F155" s="26">
        <v>9</v>
      </c>
      <c r="G155" s="26">
        <v>17</v>
      </c>
      <c r="H155" s="26">
        <v>21</v>
      </c>
      <c r="I155" s="26">
        <v>31</v>
      </c>
      <c r="J155" s="26">
        <v>34</v>
      </c>
      <c r="K155" s="26">
        <v>41</v>
      </c>
      <c r="L155" s="26">
        <v>39</v>
      </c>
      <c r="M155" s="26">
        <v>3</v>
      </c>
      <c r="N155" s="18" t="s">
        <v>32</v>
      </c>
    </row>
    <row r="156" spans="1:14" x14ac:dyDescent="0.25">
      <c r="A156" s="18">
        <f t="shared" si="13"/>
        <v>467</v>
      </c>
      <c r="B156" s="24" t="s">
        <v>186</v>
      </c>
      <c r="C156" s="25">
        <v>42180</v>
      </c>
      <c r="D156" s="18" t="str">
        <f t="shared" si="14"/>
        <v>J</v>
      </c>
      <c r="E156" s="19">
        <f t="shared" si="15"/>
        <v>26</v>
      </c>
      <c r="F156" s="26">
        <v>1</v>
      </c>
      <c r="G156" s="26">
        <v>2</v>
      </c>
      <c r="H156" s="26">
        <v>7</v>
      </c>
      <c r="I156" s="26">
        <v>8</v>
      </c>
      <c r="J156" s="26">
        <v>11</v>
      </c>
      <c r="K156" s="26">
        <v>42</v>
      </c>
      <c r="L156" s="26">
        <v>32</v>
      </c>
      <c r="M156" s="26">
        <v>5</v>
      </c>
      <c r="N156" s="18" t="s">
        <v>32</v>
      </c>
    </row>
    <row r="157" spans="1:14" x14ac:dyDescent="0.25">
      <c r="A157" s="18">
        <f t="shared" si="13"/>
        <v>468</v>
      </c>
      <c r="B157" s="24" t="s">
        <v>187</v>
      </c>
      <c r="C157" s="25">
        <v>42182</v>
      </c>
      <c r="D157" s="18" t="str">
        <f t="shared" si="14"/>
        <v>S</v>
      </c>
      <c r="E157" s="19">
        <f t="shared" si="15"/>
        <v>26</v>
      </c>
      <c r="F157" s="26">
        <v>1</v>
      </c>
      <c r="G157" s="26">
        <v>8</v>
      </c>
      <c r="H157" s="26">
        <v>10</v>
      </c>
      <c r="I157" s="26">
        <v>16</v>
      </c>
      <c r="J157" s="26">
        <v>26</v>
      </c>
      <c r="K157" s="26">
        <v>32</v>
      </c>
      <c r="L157" s="26">
        <v>15</v>
      </c>
      <c r="M157" s="26">
        <v>2</v>
      </c>
      <c r="N157" s="18" t="s">
        <v>32</v>
      </c>
    </row>
    <row r="158" spans="1:14" x14ac:dyDescent="0.25">
      <c r="A158" s="18">
        <f t="shared" si="13"/>
        <v>469</v>
      </c>
      <c r="B158" s="24" t="s">
        <v>188</v>
      </c>
      <c r="C158" s="25">
        <v>42187</v>
      </c>
      <c r="D158" s="18" t="str">
        <f t="shared" si="14"/>
        <v>J</v>
      </c>
      <c r="E158" s="19">
        <f t="shared" si="15"/>
        <v>27</v>
      </c>
      <c r="F158" s="26">
        <v>18</v>
      </c>
      <c r="G158" s="26">
        <v>21</v>
      </c>
      <c r="H158" s="26">
        <v>32</v>
      </c>
      <c r="I158" s="26">
        <v>36</v>
      </c>
      <c r="J158" s="26">
        <v>45</v>
      </c>
      <c r="K158" s="26">
        <v>46</v>
      </c>
      <c r="L158" s="26">
        <v>25</v>
      </c>
      <c r="M158" s="26">
        <v>4</v>
      </c>
      <c r="N158" s="18" t="s">
        <v>32</v>
      </c>
    </row>
    <row r="159" spans="1:14" x14ac:dyDescent="0.25">
      <c r="A159" s="18">
        <f t="shared" si="13"/>
        <v>470</v>
      </c>
      <c r="B159" s="24" t="s">
        <v>189</v>
      </c>
      <c r="C159" s="25">
        <v>42189</v>
      </c>
      <c r="D159" s="18" t="str">
        <f t="shared" si="14"/>
        <v>S</v>
      </c>
      <c r="E159" s="19">
        <f t="shared" si="15"/>
        <v>27</v>
      </c>
      <c r="F159" s="26">
        <v>18</v>
      </c>
      <c r="G159" s="26">
        <v>19</v>
      </c>
      <c r="H159" s="26">
        <v>28</v>
      </c>
      <c r="I159" s="26">
        <v>45</v>
      </c>
      <c r="J159" s="26">
        <v>46</v>
      </c>
      <c r="K159" s="26">
        <v>49</v>
      </c>
      <c r="L159" s="26">
        <v>35</v>
      </c>
      <c r="M159" s="26">
        <v>4</v>
      </c>
      <c r="N159" s="18" t="s">
        <v>32</v>
      </c>
    </row>
    <row r="160" spans="1:14" x14ac:dyDescent="0.25">
      <c r="A160" s="18">
        <f t="shared" si="13"/>
        <v>471</v>
      </c>
      <c r="B160" s="24" t="s">
        <v>190</v>
      </c>
      <c r="C160" s="25">
        <v>42194</v>
      </c>
      <c r="D160" s="18" t="str">
        <f t="shared" si="14"/>
        <v>J</v>
      </c>
      <c r="E160" s="19">
        <f t="shared" si="15"/>
        <v>28</v>
      </c>
      <c r="F160" s="26">
        <v>43</v>
      </c>
      <c r="G160" s="26">
        <v>14</v>
      </c>
      <c r="H160" s="26">
        <v>7</v>
      </c>
      <c r="I160" s="26">
        <v>25</v>
      </c>
      <c r="J160" s="26">
        <v>15</v>
      </c>
      <c r="K160" s="26">
        <v>6</v>
      </c>
      <c r="L160" s="26">
        <v>12</v>
      </c>
      <c r="M160" s="26">
        <v>8</v>
      </c>
      <c r="N160" s="18" t="s">
        <v>32</v>
      </c>
    </row>
    <row r="161" spans="1:14" x14ac:dyDescent="0.25">
      <c r="A161" s="18">
        <f t="shared" si="13"/>
        <v>472</v>
      </c>
      <c r="B161" s="24" t="s">
        <v>191</v>
      </c>
      <c r="C161" s="25">
        <v>42196</v>
      </c>
      <c r="D161" s="18" t="str">
        <f t="shared" si="14"/>
        <v>S</v>
      </c>
      <c r="E161" s="19">
        <f t="shared" si="15"/>
        <v>28</v>
      </c>
      <c r="F161" s="26">
        <v>12</v>
      </c>
      <c r="G161" s="26">
        <v>20</v>
      </c>
      <c r="H161" s="26">
        <v>22</v>
      </c>
      <c r="I161" s="26">
        <v>23</v>
      </c>
      <c r="J161" s="26">
        <v>30</v>
      </c>
      <c r="K161" s="26">
        <v>44</v>
      </c>
      <c r="L161" s="26">
        <v>11</v>
      </c>
      <c r="M161" s="26">
        <v>6</v>
      </c>
      <c r="N161" s="18" t="s">
        <v>32</v>
      </c>
    </row>
    <row r="162" spans="1:14" x14ac:dyDescent="0.25">
      <c r="A162" s="18">
        <f t="shared" si="13"/>
        <v>473</v>
      </c>
      <c r="B162" s="24" t="s">
        <v>192</v>
      </c>
      <c r="C162" s="25">
        <v>42201</v>
      </c>
      <c r="D162" s="18" t="str">
        <f t="shared" si="14"/>
        <v>J</v>
      </c>
      <c r="E162" s="19">
        <f t="shared" si="15"/>
        <v>29</v>
      </c>
      <c r="F162" s="26">
        <v>2</v>
      </c>
      <c r="G162" s="26">
        <v>3</v>
      </c>
      <c r="H162" s="26">
        <v>4</v>
      </c>
      <c r="I162" s="26">
        <v>7</v>
      </c>
      <c r="J162" s="26">
        <v>21</v>
      </c>
      <c r="K162" s="26">
        <v>38</v>
      </c>
      <c r="L162" s="26">
        <v>24</v>
      </c>
      <c r="M162" s="26">
        <v>4</v>
      </c>
      <c r="N162" s="18" t="s">
        <v>32</v>
      </c>
    </row>
    <row r="163" spans="1:14" x14ac:dyDescent="0.25">
      <c r="A163" s="18">
        <f t="shared" si="13"/>
        <v>474</v>
      </c>
      <c r="B163" s="24" t="s">
        <v>193</v>
      </c>
      <c r="C163" s="25">
        <v>42203</v>
      </c>
      <c r="D163" s="18" t="str">
        <f t="shared" si="14"/>
        <v>S</v>
      </c>
      <c r="E163" s="19">
        <f t="shared" si="15"/>
        <v>29</v>
      </c>
      <c r="F163" s="26">
        <v>1</v>
      </c>
      <c r="G163" s="26">
        <v>24</v>
      </c>
      <c r="H163" s="26">
        <v>30</v>
      </c>
      <c r="I163" s="26">
        <v>41</v>
      </c>
      <c r="J163" s="26">
        <v>45</v>
      </c>
      <c r="K163" s="26">
        <v>46</v>
      </c>
      <c r="L163" s="26">
        <v>20</v>
      </c>
      <c r="M163" s="26">
        <v>4</v>
      </c>
      <c r="N163" s="18" t="s">
        <v>32</v>
      </c>
    </row>
    <row r="164" spans="1:14" x14ac:dyDescent="0.25">
      <c r="A164" s="18">
        <f t="shared" si="13"/>
        <v>475</v>
      </c>
      <c r="B164" s="24" t="s">
        <v>194</v>
      </c>
      <c r="C164" s="25">
        <v>42208</v>
      </c>
      <c r="D164" s="18" t="str">
        <f t="shared" si="14"/>
        <v>J</v>
      </c>
      <c r="E164" s="19">
        <f t="shared" si="15"/>
        <v>30</v>
      </c>
      <c r="F164" s="26">
        <v>12</v>
      </c>
      <c r="G164" s="26">
        <v>20</v>
      </c>
      <c r="H164" s="26">
        <v>28</v>
      </c>
      <c r="I164" s="26">
        <v>36</v>
      </c>
      <c r="J164" s="26">
        <v>39</v>
      </c>
      <c r="K164" s="26">
        <v>45</v>
      </c>
      <c r="L164" s="26">
        <v>31</v>
      </c>
      <c r="M164" s="26">
        <v>4</v>
      </c>
      <c r="N164" s="18" t="s">
        <v>32</v>
      </c>
    </row>
    <row r="165" spans="1:14" x14ac:dyDescent="0.25">
      <c r="A165" s="18">
        <f t="shared" si="13"/>
        <v>476</v>
      </c>
      <c r="B165" s="24" t="s">
        <v>195</v>
      </c>
      <c r="C165" s="25">
        <v>42210</v>
      </c>
      <c r="D165" s="18" t="str">
        <f t="shared" si="14"/>
        <v>S</v>
      </c>
      <c r="E165" s="19">
        <f t="shared" si="15"/>
        <v>30</v>
      </c>
      <c r="F165" s="26">
        <v>4</v>
      </c>
      <c r="G165" s="26">
        <v>6</v>
      </c>
      <c r="H165" s="26">
        <v>12</v>
      </c>
      <c r="I165" s="26">
        <v>16</v>
      </c>
      <c r="J165" s="26">
        <v>25</v>
      </c>
      <c r="K165" s="26">
        <v>43</v>
      </c>
      <c r="L165" s="26">
        <v>18</v>
      </c>
      <c r="M165" s="26">
        <v>0</v>
      </c>
      <c r="N165" s="18" t="s">
        <v>32</v>
      </c>
    </row>
    <row r="166" spans="1:14" x14ac:dyDescent="0.25">
      <c r="A166" s="18">
        <f t="shared" si="13"/>
        <v>477</v>
      </c>
      <c r="B166" s="24" t="s">
        <v>196</v>
      </c>
      <c r="C166" s="25">
        <v>42215</v>
      </c>
      <c r="D166" s="18" t="str">
        <f t="shared" si="14"/>
        <v>J</v>
      </c>
      <c r="E166" s="19">
        <f t="shared" si="15"/>
        <v>31</v>
      </c>
      <c r="F166" s="26">
        <v>4</v>
      </c>
      <c r="G166" s="26">
        <v>8</v>
      </c>
      <c r="H166" s="26">
        <v>13</v>
      </c>
      <c r="I166" s="26">
        <v>19</v>
      </c>
      <c r="J166" s="26">
        <v>32</v>
      </c>
      <c r="K166" s="26">
        <v>46</v>
      </c>
      <c r="L166" s="26">
        <v>43</v>
      </c>
      <c r="M166" s="26">
        <v>7</v>
      </c>
      <c r="N166" s="18" t="s">
        <v>32</v>
      </c>
    </row>
    <row r="167" spans="1:14" x14ac:dyDescent="0.25">
      <c r="A167" s="18">
        <f t="shared" si="13"/>
        <v>478</v>
      </c>
      <c r="B167" s="24" t="s">
        <v>197</v>
      </c>
      <c r="C167" s="25">
        <v>42217</v>
      </c>
      <c r="D167" s="18" t="str">
        <f t="shared" si="14"/>
        <v>S</v>
      </c>
      <c r="E167" s="19">
        <f t="shared" si="15"/>
        <v>31</v>
      </c>
      <c r="F167" s="26">
        <v>1</v>
      </c>
      <c r="G167" s="26">
        <v>9</v>
      </c>
      <c r="H167" s="26">
        <v>16</v>
      </c>
      <c r="I167" s="26">
        <v>20</v>
      </c>
      <c r="J167" s="26">
        <v>28</v>
      </c>
      <c r="K167" s="26">
        <v>31</v>
      </c>
      <c r="L167" s="26">
        <v>25</v>
      </c>
      <c r="M167" s="26">
        <v>7</v>
      </c>
      <c r="N167" s="18" t="s">
        <v>32</v>
      </c>
    </row>
    <row r="168" spans="1:14" x14ac:dyDescent="0.25">
      <c r="A168" s="18">
        <f t="shared" si="13"/>
        <v>479</v>
      </c>
      <c r="B168" s="24" t="s">
        <v>198</v>
      </c>
      <c r="C168" s="25">
        <v>42222</v>
      </c>
      <c r="D168" s="18" t="str">
        <f t="shared" si="14"/>
        <v>J</v>
      </c>
      <c r="E168" s="19">
        <f t="shared" si="15"/>
        <v>32</v>
      </c>
      <c r="F168" s="26">
        <v>10</v>
      </c>
      <c r="G168" s="26">
        <v>14</v>
      </c>
      <c r="H168" s="26">
        <v>17</v>
      </c>
      <c r="I168" s="26">
        <v>33</v>
      </c>
      <c r="J168" s="26">
        <v>39</v>
      </c>
      <c r="K168" s="26">
        <v>46</v>
      </c>
      <c r="L168" s="26">
        <v>3</v>
      </c>
      <c r="M168" s="26">
        <v>5</v>
      </c>
      <c r="N168" s="18" t="s">
        <v>32</v>
      </c>
    </row>
    <row r="169" spans="1:14" x14ac:dyDescent="0.25">
      <c r="A169" s="18">
        <f t="shared" si="13"/>
        <v>480</v>
      </c>
      <c r="B169" s="24" t="s">
        <v>199</v>
      </c>
      <c r="C169" s="25">
        <v>42224</v>
      </c>
      <c r="D169" s="18" t="str">
        <f t="shared" si="14"/>
        <v>S</v>
      </c>
      <c r="E169" s="19">
        <f t="shared" si="15"/>
        <v>32</v>
      </c>
      <c r="F169" s="26">
        <v>7</v>
      </c>
      <c r="G169" s="26">
        <v>27</v>
      </c>
      <c r="H169" s="26">
        <v>2</v>
      </c>
      <c r="I169" s="26">
        <v>49</v>
      </c>
      <c r="J169" s="26">
        <v>21</v>
      </c>
      <c r="K169" s="26">
        <v>18</v>
      </c>
      <c r="L169" s="26">
        <v>42</v>
      </c>
      <c r="M169" s="26">
        <v>5</v>
      </c>
      <c r="N169" s="18" t="s">
        <v>32</v>
      </c>
    </row>
    <row r="170" spans="1:14" x14ac:dyDescent="0.25">
      <c r="A170" s="18">
        <f t="shared" si="13"/>
        <v>481</v>
      </c>
      <c r="B170" s="24" t="s">
        <v>200</v>
      </c>
      <c r="C170" s="25">
        <v>42229</v>
      </c>
      <c r="D170" s="18" t="str">
        <f t="shared" si="14"/>
        <v>J</v>
      </c>
      <c r="E170" s="19">
        <f t="shared" si="15"/>
        <v>33</v>
      </c>
      <c r="F170" s="26">
        <v>11</v>
      </c>
      <c r="G170" s="26">
        <v>19</v>
      </c>
      <c r="H170" s="26">
        <v>25</v>
      </c>
      <c r="I170" s="26">
        <v>26</v>
      </c>
      <c r="J170" s="26">
        <v>29</v>
      </c>
      <c r="K170" s="26">
        <v>30</v>
      </c>
      <c r="L170" s="26">
        <v>3</v>
      </c>
      <c r="M170" s="26">
        <v>5</v>
      </c>
      <c r="N170" s="18" t="s">
        <v>32</v>
      </c>
    </row>
    <row r="171" spans="1:14" x14ac:dyDescent="0.25">
      <c r="A171" s="18">
        <f t="shared" si="13"/>
        <v>482</v>
      </c>
      <c r="B171" s="24" t="s">
        <v>201</v>
      </c>
      <c r="C171" s="25">
        <v>42231</v>
      </c>
      <c r="D171" s="18" t="str">
        <f t="shared" si="14"/>
        <v>S</v>
      </c>
      <c r="E171" s="19">
        <f t="shared" si="15"/>
        <v>33</v>
      </c>
      <c r="F171" s="26">
        <v>12</v>
      </c>
      <c r="G171" s="26">
        <v>19</v>
      </c>
      <c r="H171" s="26">
        <v>24</v>
      </c>
      <c r="I171" s="26">
        <v>39</v>
      </c>
      <c r="J171" s="26">
        <v>40</v>
      </c>
      <c r="K171" s="26">
        <v>42</v>
      </c>
      <c r="L171" s="26">
        <v>44</v>
      </c>
      <c r="M171" s="26">
        <v>9</v>
      </c>
      <c r="N171" s="18" t="s">
        <v>32</v>
      </c>
    </row>
    <row r="172" spans="1:14" x14ac:dyDescent="0.25">
      <c r="A172" s="18">
        <f t="shared" si="13"/>
        <v>483</v>
      </c>
      <c r="B172" s="24" t="s">
        <v>202</v>
      </c>
      <c r="C172" s="25">
        <v>42236</v>
      </c>
      <c r="D172" s="18" t="str">
        <f t="shared" si="14"/>
        <v>J</v>
      </c>
      <c r="E172" s="19">
        <f t="shared" si="15"/>
        <v>34</v>
      </c>
      <c r="F172" s="26">
        <v>3</v>
      </c>
      <c r="G172" s="26">
        <v>10</v>
      </c>
      <c r="H172" s="26">
        <v>12</v>
      </c>
      <c r="I172" s="26">
        <v>23</v>
      </c>
      <c r="J172" s="26">
        <v>35</v>
      </c>
      <c r="K172" s="26">
        <v>39</v>
      </c>
      <c r="L172" s="26">
        <v>43</v>
      </c>
      <c r="M172" s="26">
        <v>2</v>
      </c>
      <c r="N172" s="18" t="s">
        <v>32</v>
      </c>
    </row>
    <row r="173" spans="1:14" x14ac:dyDescent="0.25">
      <c r="A173" s="18">
        <f t="shared" si="13"/>
        <v>484</v>
      </c>
      <c r="B173" s="24" t="s">
        <v>203</v>
      </c>
      <c r="C173" s="25">
        <v>42238</v>
      </c>
      <c r="D173" s="18" t="str">
        <f t="shared" si="14"/>
        <v>S</v>
      </c>
      <c r="E173" s="19">
        <f t="shared" si="15"/>
        <v>34</v>
      </c>
      <c r="F173" s="26">
        <v>1</v>
      </c>
      <c r="G173" s="26">
        <v>16</v>
      </c>
      <c r="H173" s="26">
        <v>25</v>
      </c>
      <c r="I173" s="26">
        <v>28</v>
      </c>
      <c r="J173" s="26">
        <v>33</v>
      </c>
      <c r="K173" s="26">
        <v>38</v>
      </c>
      <c r="L173" s="26">
        <v>27</v>
      </c>
      <c r="M173" s="26">
        <v>9</v>
      </c>
      <c r="N173" s="18" t="s">
        <v>32</v>
      </c>
    </row>
    <row r="174" spans="1:14" x14ac:dyDescent="0.25">
      <c r="A174" s="18">
        <f t="shared" si="13"/>
        <v>485</v>
      </c>
      <c r="B174" s="24" t="s">
        <v>204</v>
      </c>
      <c r="C174" s="25">
        <v>42243</v>
      </c>
      <c r="D174" s="18" t="str">
        <f t="shared" si="14"/>
        <v>J</v>
      </c>
      <c r="E174" s="19">
        <f t="shared" si="15"/>
        <v>35</v>
      </c>
      <c r="F174" s="26">
        <v>8</v>
      </c>
      <c r="G174" s="26">
        <v>13</v>
      </c>
      <c r="H174" s="26">
        <v>24</v>
      </c>
      <c r="I174" s="26">
        <v>32</v>
      </c>
      <c r="J174" s="26">
        <v>39</v>
      </c>
      <c r="K174" s="26">
        <v>42</v>
      </c>
      <c r="L174" s="26">
        <v>18</v>
      </c>
      <c r="M174" s="26">
        <v>8</v>
      </c>
      <c r="N174" s="18" t="s">
        <v>32</v>
      </c>
    </row>
    <row r="175" spans="1:14" x14ac:dyDescent="0.25">
      <c r="A175" s="18">
        <f t="shared" si="13"/>
        <v>486</v>
      </c>
      <c r="B175" s="24" t="s">
        <v>205</v>
      </c>
      <c r="C175" s="25">
        <v>42245</v>
      </c>
      <c r="D175" s="18" t="str">
        <f t="shared" si="14"/>
        <v>S</v>
      </c>
      <c r="E175" s="19">
        <f t="shared" si="15"/>
        <v>35</v>
      </c>
      <c r="F175" s="26">
        <v>1</v>
      </c>
      <c r="G175" s="26">
        <v>6</v>
      </c>
      <c r="H175" s="26">
        <v>41</v>
      </c>
      <c r="I175" s="26">
        <v>47</v>
      </c>
      <c r="J175" s="26">
        <v>48</v>
      </c>
      <c r="K175" s="26">
        <v>49</v>
      </c>
      <c r="L175" s="26">
        <v>45</v>
      </c>
      <c r="M175" s="26">
        <v>8</v>
      </c>
      <c r="N175" s="18" t="s">
        <v>32</v>
      </c>
    </row>
    <row r="176" spans="1:14" x14ac:dyDescent="0.25">
      <c r="A176" s="18">
        <f t="shared" si="13"/>
        <v>487</v>
      </c>
      <c r="B176" s="24" t="s">
        <v>206</v>
      </c>
      <c r="C176" s="25">
        <v>42250</v>
      </c>
      <c r="D176" s="18" t="str">
        <f t="shared" si="14"/>
        <v>J</v>
      </c>
      <c r="E176" s="19">
        <f t="shared" si="15"/>
        <v>36</v>
      </c>
      <c r="F176" s="26">
        <v>3</v>
      </c>
      <c r="G176" s="26">
        <v>7</v>
      </c>
      <c r="H176" s="26">
        <v>15</v>
      </c>
      <c r="I176" s="26">
        <v>37</v>
      </c>
      <c r="J176" s="26">
        <v>38</v>
      </c>
      <c r="K176" s="26">
        <v>46</v>
      </c>
      <c r="L176" s="26">
        <v>42</v>
      </c>
      <c r="M176" s="26">
        <v>7</v>
      </c>
      <c r="N176" s="18" t="s">
        <v>32</v>
      </c>
    </row>
    <row r="177" spans="1:14" x14ac:dyDescent="0.25">
      <c r="A177" s="18">
        <f t="shared" si="13"/>
        <v>488</v>
      </c>
      <c r="B177" s="24" t="s">
        <v>207</v>
      </c>
      <c r="C177" s="25">
        <v>42252</v>
      </c>
      <c r="D177" s="18" t="str">
        <f t="shared" si="14"/>
        <v>S</v>
      </c>
      <c r="E177" s="19">
        <f t="shared" si="15"/>
        <v>36</v>
      </c>
      <c r="F177" s="26">
        <v>5</v>
      </c>
      <c r="G177" s="26">
        <v>17</v>
      </c>
      <c r="H177" s="26">
        <v>21</v>
      </c>
      <c r="I177" s="26">
        <v>23</v>
      </c>
      <c r="J177" s="26">
        <v>42</v>
      </c>
      <c r="K177" s="26">
        <v>46</v>
      </c>
      <c r="L177" s="26">
        <v>29</v>
      </c>
      <c r="M177" s="26">
        <v>9</v>
      </c>
      <c r="N177" s="18" t="s">
        <v>32</v>
      </c>
    </row>
    <row r="178" spans="1:14" x14ac:dyDescent="0.25">
      <c r="A178" s="18">
        <f t="shared" si="13"/>
        <v>489</v>
      </c>
      <c r="B178" s="24" t="s">
        <v>208</v>
      </c>
      <c r="C178" s="25">
        <v>42257</v>
      </c>
      <c r="D178" s="18" t="str">
        <f t="shared" si="14"/>
        <v>J</v>
      </c>
      <c r="E178" s="19">
        <f t="shared" si="15"/>
        <v>37</v>
      </c>
      <c r="F178" s="26">
        <v>11</v>
      </c>
      <c r="G178" s="26">
        <v>19</v>
      </c>
      <c r="H178" s="26">
        <v>22</v>
      </c>
      <c r="I178" s="26">
        <v>26</v>
      </c>
      <c r="J178" s="26">
        <v>28</v>
      </c>
      <c r="K178" s="26">
        <v>30</v>
      </c>
      <c r="L178" s="26">
        <v>17</v>
      </c>
      <c r="M178" s="26">
        <v>1</v>
      </c>
      <c r="N178" s="18" t="s">
        <v>32</v>
      </c>
    </row>
    <row r="179" spans="1:14" x14ac:dyDescent="0.25">
      <c r="A179" s="18">
        <f t="shared" si="13"/>
        <v>490</v>
      </c>
      <c r="B179" s="24" t="s">
        <v>209</v>
      </c>
      <c r="C179" s="25">
        <v>42259</v>
      </c>
      <c r="D179" s="18" t="str">
        <f t="shared" si="14"/>
        <v>S</v>
      </c>
      <c r="E179" s="19">
        <f t="shared" si="15"/>
        <v>37</v>
      </c>
      <c r="F179" s="26">
        <v>9</v>
      </c>
      <c r="G179" s="26">
        <v>14</v>
      </c>
      <c r="H179" s="26">
        <v>19</v>
      </c>
      <c r="I179" s="26">
        <v>43</v>
      </c>
      <c r="J179" s="26">
        <v>44</v>
      </c>
      <c r="K179" s="26">
        <v>48</v>
      </c>
      <c r="L179" s="26">
        <v>3</v>
      </c>
      <c r="M179" s="26">
        <v>0</v>
      </c>
      <c r="N179" s="18" t="s">
        <v>32</v>
      </c>
    </row>
    <row r="180" spans="1:14" x14ac:dyDescent="0.25">
      <c r="A180" s="18">
        <f t="shared" si="13"/>
        <v>491</v>
      </c>
      <c r="B180" s="24" t="s">
        <v>210</v>
      </c>
      <c r="C180" s="25">
        <v>42264</v>
      </c>
      <c r="D180" s="18" t="str">
        <f t="shared" si="14"/>
        <v>J</v>
      </c>
      <c r="E180" s="19">
        <f t="shared" si="15"/>
        <v>38</v>
      </c>
      <c r="F180" s="26">
        <v>16</v>
      </c>
      <c r="G180" s="26">
        <v>17</v>
      </c>
      <c r="H180" s="26">
        <v>23</v>
      </c>
      <c r="I180" s="26">
        <v>24</v>
      </c>
      <c r="J180" s="26">
        <v>39</v>
      </c>
      <c r="K180" s="26">
        <v>42</v>
      </c>
      <c r="L180" s="26">
        <v>37</v>
      </c>
      <c r="M180" s="26">
        <v>4</v>
      </c>
      <c r="N180" s="18" t="s">
        <v>32</v>
      </c>
    </row>
    <row r="181" spans="1:14" x14ac:dyDescent="0.25">
      <c r="A181" s="18">
        <f t="shared" si="13"/>
        <v>492</v>
      </c>
      <c r="B181" s="24" t="s">
        <v>211</v>
      </c>
      <c r="C181" s="25">
        <v>42266</v>
      </c>
      <c r="D181" s="18" t="str">
        <f t="shared" si="14"/>
        <v>S</v>
      </c>
      <c r="E181" s="19">
        <f t="shared" si="15"/>
        <v>38</v>
      </c>
      <c r="F181" s="26">
        <v>2</v>
      </c>
      <c r="G181" s="26">
        <v>3</v>
      </c>
      <c r="H181" s="26">
        <v>12</v>
      </c>
      <c r="I181" s="26">
        <v>16</v>
      </c>
      <c r="J181" s="26">
        <v>29</v>
      </c>
      <c r="K181" s="26">
        <v>37</v>
      </c>
      <c r="L181" s="26">
        <v>36</v>
      </c>
      <c r="M181" s="26">
        <v>1</v>
      </c>
      <c r="N181" s="18" t="s">
        <v>32</v>
      </c>
    </row>
    <row r="182" spans="1:14" x14ac:dyDescent="0.25">
      <c r="A182" s="18">
        <f t="shared" si="13"/>
        <v>493</v>
      </c>
      <c r="B182" s="24" t="s">
        <v>212</v>
      </c>
      <c r="C182" s="25">
        <v>42271</v>
      </c>
      <c r="D182" s="18" t="str">
        <f t="shared" si="14"/>
        <v>J</v>
      </c>
      <c r="E182" s="19">
        <f t="shared" si="15"/>
        <v>39</v>
      </c>
      <c r="F182" s="26">
        <v>5</v>
      </c>
      <c r="G182" s="26">
        <v>11</v>
      </c>
      <c r="H182" s="26">
        <v>19</v>
      </c>
      <c r="I182" s="26">
        <v>27</v>
      </c>
      <c r="J182" s="26">
        <v>34</v>
      </c>
      <c r="K182" s="26">
        <v>46</v>
      </c>
      <c r="L182" s="26">
        <v>47</v>
      </c>
      <c r="M182" s="26">
        <v>6</v>
      </c>
      <c r="N182" s="18" t="s">
        <v>32</v>
      </c>
    </row>
    <row r="183" spans="1:14" x14ac:dyDescent="0.25">
      <c r="A183" s="18">
        <f t="shared" si="13"/>
        <v>494</v>
      </c>
      <c r="B183" s="24" t="s">
        <v>213</v>
      </c>
      <c r="C183" s="25">
        <v>42273</v>
      </c>
      <c r="D183" s="18" t="str">
        <f t="shared" si="14"/>
        <v>S</v>
      </c>
      <c r="E183" s="19">
        <f t="shared" si="15"/>
        <v>39</v>
      </c>
      <c r="F183" s="26">
        <v>18</v>
      </c>
      <c r="G183" s="26">
        <v>19</v>
      </c>
      <c r="H183" s="26">
        <v>26</v>
      </c>
      <c r="I183" s="26">
        <v>35</v>
      </c>
      <c r="J183" s="26">
        <v>46</v>
      </c>
      <c r="K183" s="26">
        <v>49</v>
      </c>
      <c r="L183" s="26">
        <v>11</v>
      </c>
      <c r="M183" s="26">
        <v>4</v>
      </c>
      <c r="N183" s="18" t="s">
        <v>32</v>
      </c>
    </row>
    <row r="184" spans="1:14" x14ac:dyDescent="0.25">
      <c r="A184" s="18">
        <f t="shared" si="13"/>
        <v>495</v>
      </c>
      <c r="B184" s="24" t="s">
        <v>214</v>
      </c>
      <c r="C184" s="25">
        <v>42278</v>
      </c>
      <c r="D184" s="18" t="str">
        <f t="shared" si="14"/>
        <v>J</v>
      </c>
      <c r="E184" s="19">
        <f t="shared" si="15"/>
        <v>40</v>
      </c>
      <c r="F184" s="26">
        <v>11</v>
      </c>
      <c r="G184" s="26">
        <v>17</v>
      </c>
      <c r="H184" s="26">
        <v>30</v>
      </c>
      <c r="I184" s="26">
        <v>39</v>
      </c>
      <c r="J184" s="26">
        <v>45</v>
      </c>
      <c r="K184" s="26">
        <v>49</v>
      </c>
      <c r="L184" s="26">
        <v>33</v>
      </c>
      <c r="M184" s="26">
        <v>1</v>
      </c>
      <c r="N184" s="18" t="s">
        <v>32</v>
      </c>
    </row>
    <row r="185" spans="1:14" x14ac:dyDescent="0.25">
      <c r="A185" s="18">
        <f t="shared" si="13"/>
        <v>496</v>
      </c>
      <c r="B185" s="24" t="s">
        <v>215</v>
      </c>
      <c r="C185" s="25">
        <v>42280</v>
      </c>
      <c r="D185" s="18" t="str">
        <f t="shared" si="14"/>
        <v>S</v>
      </c>
      <c r="E185" s="19">
        <f t="shared" si="15"/>
        <v>40</v>
      </c>
      <c r="F185" s="26">
        <v>1</v>
      </c>
      <c r="G185" s="26">
        <v>19</v>
      </c>
      <c r="H185" s="26">
        <v>21</v>
      </c>
      <c r="I185" s="26">
        <v>28</v>
      </c>
      <c r="J185" s="26">
        <v>45</v>
      </c>
      <c r="K185" s="26">
        <v>48</v>
      </c>
      <c r="L185" s="26">
        <v>17</v>
      </c>
      <c r="M185" s="26">
        <v>0</v>
      </c>
      <c r="N185" s="18" t="s">
        <v>32</v>
      </c>
    </row>
    <row r="186" spans="1:14" x14ac:dyDescent="0.25">
      <c r="A186" s="18">
        <f t="shared" si="13"/>
        <v>497</v>
      </c>
      <c r="B186" s="24" t="s">
        <v>216</v>
      </c>
      <c r="C186" s="25">
        <v>42285</v>
      </c>
      <c r="D186" s="18" t="str">
        <f t="shared" si="14"/>
        <v>J</v>
      </c>
      <c r="E186" s="19">
        <f t="shared" si="15"/>
        <v>41</v>
      </c>
      <c r="F186" s="26">
        <v>12</v>
      </c>
      <c r="G186" s="26">
        <v>14</v>
      </c>
      <c r="H186" s="26">
        <v>21</v>
      </c>
      <c r="I186" s="26">
        <v>30</v>
      </c>
      <c r="J186" s="26">
        <v>37</v>
      </c>
      <c r="K186" s="26">
        <v>40</v>
      </c>
      <c r="L186" s="26">
        <v>29</v>
      </c>
      <c r="M186" s="26">
        <v>3</v>
      </c>
      <c r="N186" s="18" t="s">
        <v>32</v>
      </c>
    </row>
    <row r="187" spans="1:14" x14ac:dyDescent="0.25">
      <c r="A187" s="18">
        <f t="shared" si="13"/>
        <v>498</v>
      </c>
      <c r="B187" s="24" t="s">
        <v>217</v>
      </c>
      <c r="C187" s="25">
        <v>42287</v>
      </c>
      <c r="D187" s="18" t="str">
        <f t="shared" si="14"/>
        <v>S</v>
      </c>
      <c r="E187" s="19">
        <f t="shared" si="15"/>
        <v>41</v>
      </c>
      <c r="F187" s="26">
        <v>7</v>
      </c>
      <c r="G187" s="26">
        <v>11</v>
      </c>
      <c r="H187" s="26">
        <v>22</v>
      </c>
      <c r="I187" s="26">
        <v>23</v>
      </c>
      <c r="J187" s="26">
        <v>26</v>
      </c>
      <c r="K187" s="26">
        <v>30</v>
      </c>
      <c r="L187" s="26">
        <v>4</v>
      </c>
      <c r="M187" s="26">
        <v>0</v>
      </c>
      <c r="N187" s="18" t="s">
        <v>32</v>
      </c>
    </row>
    <row r="188" spans="1:14" x14ac:dyDescent="0.25">
      <c r="A188" s="18">
        <f t="shared" si="13"/>
        <v>499</v>
      </c>
      <c r="B188" s="24" t="s">
        <v>218</v>
      </c>
      <c r="C188" s="25">
        <v>42292</v>
      </c>
      <c r="D188" s="18" t="str">
        <f t="shared" si="14"/>
        <v>J</v>
      </c>
      <c r="E188" s="19">
        <f t="shared" si="15"/>
        <v>42</v>
      </c>
      <c r="F188" s="26">
        <v>1</v>
      </c>
      <c r="G188" s="26">
        <v>7</v>
      </c>
      <c r="H188" s="26">
        <v>21</v>
      </c>
      <c r="I188" s="26">
        <v>27</v>
      </c>
      <c r="J188" s="26">
        <v>38</v>
      </c>
      <c r="K188" s="26">
        <v>46</v>
      </c>
      <c r="L188" s="26">
        <v>41</v>
      </c>
      <c r="M188" s="26">
        <v>6</v>
      </c>
      <c r="N188" s="18" t="s">
        <v>32</v>
      </c>
    </row>
    <row r="189" spans="1:14" x14ac:dyDescent="0.25">
      <c r="A189" s="18">
        <f t="shared" si="13"/>
        <v>500</v>
      </c>
      <c r="B189" s="24" t="s">
        <v>219</v>
      </c>
      <c r="C189" s="25">
        <v>42294</v>
      </c>
      <c r="D189" s="18" t="str">
        <f t="shared" si="14"/>
        <v>S</v>
      </c>
      <c r="E189" s="19">
        <f t="shared" si="15"/>
        <v>42</v>
      </c>
      <c r="F189" s="26">
        <v>1</v>
      </c>
      <c r="G189" s="26">
        <v>2</v>
      </c>
      <c r="H189" s="26">
        <v>11</v>
      </c>
      <c r="I189" s="26">
        <v>21</v>
      </c>
      <c r="J189" s="26">
        <v>22</v>
      </c>
      <c r="K189" s="26">
        <v>44</v>
      </c>
      <c r="L189" s="26">
        <v>15</v>
      </c>
      <c r="M189" s="26">
        <v>4</v>
      </c>
      <c r="N189" s="18" t="s">
        <v>32</v>
      </c>
    </row>
    <row r="190" spans="1:14" x14ac:dyDescent="0.25">
      <c r="A190" s="18">
        <f t="shared" si="13"/>
        <v>501</v>
      </c>
      <c r="B190" s="24" t="s">
        <v>220</v>
      </c>
      <c r="C190" s="25">
        <v>42299</v>
      </c>
      <c r="D190" s="18" t="str">
        <f t="shared" si="14"/>
        <v>J</v>
      </c>
      <c r="E190" s="19">
        <f t="shared" si="15"/>
        <v>43</v>
      </c>
      <c r="F190" s="26">
        <v>2</v>
      </c>
      <c r="G190" s="26">
        <v>3</v>
      </c>
      <c r="H190" s="26">
        <v>8</v>
      </c>
      <c r="I190" s="26">
        <v>21</v>
      </c>
      <c r="J190" s="26">
        <v>27</v>
      </c>
      <c r="K190" s="26">
        <v>41</v>
      </c>
      <c r="L190" s="26">
        <v>15</v>
      </c>
      <c r="M190" s="26">
        <v>3</v>
      </c>
      <c r="N190" s="18" t="s">
        <v>32</v>
      </c>
    </row>
    <row r="191" spans="1:14" x14ac:dyDescent="0.25">
      <c r="A191" s="18">
        <f t="shared" si="13"/>
        <v>502</v>
      </c>
      <c r="B191" s="24" t="s">
        <v>221</v>
      </c>
      <c r="C191" s="25">
        <v>42301</v>
      </c>
      <c r="D191" s="18" t="str">
        <f t="shared" si="14"/>
        <v>S</v>
      </c>
      <c r="E191" s="19">
        <f t="shared" si="15"/>
        <v>43</v>
      </c>
      <c r="F191" s="26">
        <v>1</v>
      </c>
      <c r="G191" s="26">
        <v>15</v>
      </c>
      <c r="H191" s="26">
        <v>20</v>
      </c>
      <c r="I191" s="26">
        <v>33</v>
      </c>
      <c r="J191" s="26">
        <v>46</v>
      </c>
      <c r="K191" s="26">
        <v>47</v>
      </c>
      <c r="L191" s="26">
        <v>40</v>
      </c>
      <c r="M191" s="26">
        <v>9</v>
      </c>
      <c r="N191" s="18" t="s">
        <v>32</v>
      </c>
    </row>
    <row r="192" spans="1:14" x14ac:dyDescent="0.25">
      <c r="A192" s="18">
        <f t="shared" si="13"/>
        <v>503</v>
      </c>
      <c r="B192" s="24" t="s">
        <v>222</v>
      </c>
      <c r="C192" s="25">
        <v>42306</v>
      </c>
      <c r="D192" s="18" t="str">
        <f t="shared" si="14"/>
        <v>J</v>
      </c>
      <c r="E192" s="19">
        <f t="shared" si="15"/>
        <v>44</v>
      </c>
      <c r="F192" s="26">
        <v>25</v>
      </c>
      <c r="G192" s="26">
        <v>33</v>
      </c>
      <c r="H192" s="26">
        <v>36</v>
      </c>
      <c r="I192" s="26">
        <v>41</v>
      </c>
      <c r="J192" s="26">
        <v>27</v>
      </c>
      <c r="K192" s="26">
        <v>45</v>
      </c>
      <c r="L192" s="26">
        <v>17</v>
      </c>
      <c r="M192" s="26">
        <v>2</v>
      </c>
      <c r="N192" s="18" t="s">
        <v>32</v>
      </c>
    </row>
    <row r="193" spans="1:14" x14ac:dyDescent="0.25">
      <c r="A193" s="18">
        <f t="shared" si="13"/>
        <v>504</v>
      </c>
      <c r="B193" s="24" t="s">
        <v>223</v>
      </c>
      <c r="C193" s="25">
        <v>42308</v>
      </c>
      <c r="D193" s="18" t="str">
        <f t="shared" si="14"/>
        <v>S</v>
      </c>
      <c r="E193" s="19">
        <f t="shared" si="15"/>
        <v>44</v>
      </c>
      <c r="F193" s="26">
        <v>13</v>
      </c>
      <c r="G193" s="26">
        <v>16</v>
      </c>
      <c r="H193" s="26">
        <v>24</v>
      </c>
      <c r="I193" s="26">
        <v>30</v>
      </c>
      <c r="J193" s="26">
        <v>38</v>
      </c>
      <c r="K193" s="26">
        <v>48</v>
      </c>
      <c r="L193" s="26">
        <v>15</v>
      </c>
      <c r="M193" s="26">
        <v>4</v>
      </c>
      <c r="N193" s="18" t="s">
        <v>32</v>
      </c>
    </row>
    <row r="194" spans="1:14" x14ac:dyDescent="0.25">
      <c r="A194" s="18">
        <f t="shared" si="13"/>
        <v>505</v>
      </c>
      <c r="B194" s="24" t="s">
        <v>224</v>
      </c>
      <c r="C194" s="25">
        <v>42313</v>
      </c>
      <c r="D194" s="18" t="str">
        <f t="shared" si="14"/>
        <v>J</v>
      </c>
      <c r="E194" s="19">
        <f t="shared" si="15"/>
        <v>45</v>
      </c>
      <c r="F194" s="26">
        <v>1</v>
      </c>
      <c r="G194" s="26">
        <v>6</v>
      </c>
      <c r="H194" s="26">
        <v>25</v>
      </c>
      <c r="I194" s="26">
        <v>35</v>
      </c>
      <c r="J194" s="26">
        <v>36</v>
      </c>
      <c r="K194" s="26">
        <v>41</v>
      </c>
      <c r="L194" s="26">
        <v>20</v>
      </c>
      <c r="M194" s="26">
        <v>3</v>
      </c>
      <c r="N194" s="18" t="s">
        <v>32</v>
      </c>
    </row>
    <row r="195" spans="1:14" x14ac:dyDescent="0.25">
      <c r="A195" s="18">
        <f t="shared" si="13"/>
        <v>506</v>
      </c>
      <c r="B195" s="24" t="s">
        <v>225</v>
      </c>
      <c r="C195" s="25">
        <v>42315</v>
      </c>
      <c r="D195" s="18" t="str">
        <f t="shared" si="14"/>
        <v>S</v>
      </c>
      <c r="E195" s="19">
        <f t="shared" si="15"/>
        <v>45</v>
      </c>
      <c r="F195" s="26">
        <v>4</v>
      </c>
      <c r="G195" s="26">
        <v>3</v>
      </c>
      <c r="H195" s="26">
        <v>24</v>
      </c>
      <c r="I195" s="26">
        <v>20</v>
      </c>
      <c r="J195" s="26">
        <v>29</v>
      </c>
      <c r="K195" s="26">
        <v>49</v>
      </c>
      <c r="L195" s="26">
        <v>5</v>
      </c>
      <c r="M195" s="26">
        <v>7</v>
      </c>
      <c r="N195" s="18" t="s">
        <v>32</v>
      </c>
    </row>
    <row r="196" spans="1:14" x14ac:dyDescent="0.25">
      <c r="A196" s="18">
        <f t="shared" ref="A196:A259" si="16">+A195+1</f>
        <v>507</v>
      </c>
      <c r="B196" s="24" t="s">
        <v>226</v>
      </c>
      <c r="C196" s="25">
        <v>42320</v>
      </c>
      <c r="D196" s="18" t="str">
        <f t="shared" si="14"/>
        <v>J</v>
      </c>
      <c r="E196" s="19">
        <f t="shared" si="15"/>
        <v>46</v>
      </c>
      <c r="F196" s="26">
        <v>10</v>
      </c>
      <c r="G196" s="26">
        <v>23</v>
      </c>
      <c r="H196" s="26">
        <v>25</v>
      </c>
      <c r="I196" s="26">
        <v>31</v>
      </c>
      <c r="J196" s="26">
        <v>40</v>
      </c>
      <c r="K196" s="26">
        <v>46</v>
      </c>
      <c r="L196" s="26">
        <v>24</v>
      </c>
      <c r="M196" s="26">
        <v>7</v>
      </c>
      <c r="N196" s="18" t="s">
        <v>32</v>
      </c>
    </row>
    <row r="197" spans="1:14" x14ac:dyDescent="0.25">
      <c r="A197" s="18">
        <f t="shared" si="16"/>
        <v>508</v>
      </c>
      <c r="B197" s="24" t="s">
        <v>227</v>
      </c>
      <c r="C197" s="25">
        <v>42322</v>
      </c>
      <c r="D197" s="18" t="str">
        <f t="shared" si="14"/>
        <v>S</v>
      </c>
      <c r="E197" s="19">
        <f t="shared" si="15"/>
        <v>46</v>
      </c>
      <c r="F197" s="26">
        <v>13</v>
      </c>
      <c r="G197" s="26">
        <v>14</v>
      </c>
      <c r="H197" s="26">
        <v>15</v>
      </c>
      <c r="I197" s="26">
        <v>32</v>
      </c>
      <c r="J197" s="26">
        <v>40</v>
      </c>
      <c r="K197" s="26">
        <v>49</v>
      </c>
      <c r="L197" s="26">
        <v>8</v>
      </c>
      <c r="M197" s="26">
        <v>5</v>
      </c>
      <c r="N197" s="18" t="s">
        <v>32</v>
      </c>
    </row>
    <row r="198" spans="1:14" x14ac:dyDescent="0.25">
      <c r="A198" s="18">
        <f t="shared" si="16"/>
        <v>509</v>
      </c>
      <c r="B198" s="24" t="s">
        <v>228</v>
      </c>
      <c r="C198" s="25">
        <v>42327</v>
      </c>
      <c r="D198" s="18" t="str">
        <f t="shared" si="14"/>
        <v>J</v>
      </c>
      <c r="E198" s="19">
        <f t="shared" si="15"/>
        <v>47</v>
      </c>
      <c r="F198" s="26">
        <v>11</v>
      </c>
      <c r="G198" s="26">
        <v>15</v>
      </c>
      <c r="H198" s="26">
        <v>25</v>
      </c>
      <c r="I198" s="26">
        <v>40</v>
      </c>
      <c r="J198" s="26">
        <v>47</v>
      </c>
      <c r="K198" s="26">
        <v>48</v>
      </c>
      <c r="L198" s="26">
        <v>6</v>
      </c>
      <c r="M198" s="26">
        <v>5</v>
      </c>
      <c r="N198" s="18" t="s">
        <v>32</v>
      </c>
    </row>
    <row r="199" spans="1:14" x14ac:dyDescent="0.25">
      <c r="A199" s="18">
        <f t="shared" si="16"/>
        <v>510</v>
      </c>
      <c r="B199" s="24" t="s">
        <v>229</v>
      </c>
      <c r="C199" s="25">
        <v>42329</v>
      </c>
      <c r="D199" s="18" t="str">
        <f t="shared" si="14"/>
        <v>S</v>
      </c>
      <c r="E199" s="19">
        <f t="shared" si="15"/>
        <v>47</v>
      </c>
      <c r="F199" s="26">
        <v>2</v>
      </c>
      <c r="G199" s="26">
        <v>6</v>
      </c>
      <c r="H199" s="26">
        <v>29</v>
      </c>
      <c r="I199" s="26">
        <v>38</v>
      </c>
      <c r="J199" s="26">
        <v>40</v>
      </c>
      <c r="K199" s="26">
        <v>46</v>
      </c>
      <c r="L199" s="26">
        <v>19</v>
      </c>
      <c r="M199" s="26">
        <v>8</v>
      </c>
      <c r="N199" s="18" t="s">
        <v>32</v>
      </c>
    </row>
    <row r="200" spans="1:14" x14ac:dyDescent="0.25">
      <c r="A200" s="18">
        <f t="shared" si="16"/>
        <v>511</v>
      </c>
      <c r="B200" s="24" t="s">
        <v>230</v>
      </c>
      <c r="C200" s="25">
        <v>42334</v>
      </c>
      <c r="D200" s="18" t="str">
        <f t="shared" si="14"/>
        <v>J</v>
      </c>
      <c r="E200" s="19">
        <f t="shared" si="15"/>
        <v>48</v>
      </c>
      <c r="F200" s="26">
        <v>1</v>
      </c>
      <c r="G200" s="26">
        <v>13</v>
      </c>
      <c r="H200" s="26">
        <v>18</v>
      </c>
      <c r="I200" s="26">
        <v>19</v>
      </c>
      <c r="J200" s="26">
        <v>39</v>
      </c>
      <c r="K200" s="26">
        <v>45</v>
      </c>
      <c r="L200" s="26">
        <v>16</v>
      </c>
      <c r="M200" s="26">
        <v>3</v>
      </c>
      <c r="N200" s="18" t="s">
        <v>32</v>
      </c>
    </row>
    <row r="201" spans="1:14" x14ac:dyDescent="0.25">
      <c r="A201" s="18">
        <f t="shared" si="16"/>
        <v>512</v>
      </c>
      <c r="B201" s="24" t="s">
        <v>231</v>
      </c>
      <c r="C201" s="25">
        <v>42336</v>
      </c>
      <c r="D201" s="18" t="str">
        <f t="shared" si="14"/>
        <v>S</v>
      </c>
      <c r="E201" s="19">
        <f t="shared" si="15"/>
        <v>48</v>
      </c>
      <c r="F201" s="26">
        <v>6</v>
      </c>
      <c r="G201" s="26">
        <v>20</v>
      </c>
      <c r="H201" s="26">
        <v>22</v>
      </c>
      <c r="I201" s="26">
        <v>30</v>
      </c>
      <c r="J201" s="26">
        <v>46</v>
      </c>
      <c r="K201" s="26">
        <v>47</v>
      </c>
      <c r="L201" s="26">
        <v>42</v>
      </c>
      <c r="M201" s="26">
        <v>3</v>
      </c>
      <c r="N201" s="18" t="s">
        <v>32</v>
      </c>
    </row>
    <row r="202" spans="1:14" x14ac:dyDescent="0.25">
      <c r="A202" s="18">
        <f t="shared" si="16"/>
        <v>513</v>
      </c>
      <c r="B202" s="24" t="s">
        <v>232</v>
      </c>
      <c r="C202" s="25">
        <v>42341</v>
      </c>
      <c r="D202" s="18" t="str">
        <f t="shared" si="14"/>
        <v>J</v>
      </c>
      <c r="E202" s="19">
        <f t="shared" si="15"/>
        <v>49</v>
      </c>
      <c r="F202" s="26">
        <v>12</v>
      </c>
      <c r="G202" s="26">
        <v>20</v>
      </c>
      <c r="H202" s="26">
        <v>23</v>
      </c>
      <c r="I202" s="26">
        <v>24</v>
      </c>
      <c r="J202" s="26">
        <v>44</v>
      </c>
      <c r="K202" s="26">
        <v>48</v>
      </c>
      <c r="L202" s="26">
        <v>1</v>
      </c>
      <c r="M202" s="26">
        <v>8</v>
      </c>
      <c r="N202" s="18" t="s">
        <v>32</v>
      </c>
    </row>
    <row r="203" spans="1:14" x14ac:dyDescent="0.25">
      <c r="A203" s="18">
        <f t="shared" si="16"/>
        <v>514</v>
      </c>
      <c r="B203" s="24" t="s">
        <v>233</v>
      </c>
      <c r="C203" s="25">
        <v>42343</v>
      </c>
      <c r="D203" s="18" t="str">
        <f t="shared" si="14"/>
        <v>S</v>
      </c>
      <c r="E203" s="19">
        <f t="shared" si="15"/>
        <v>49</v>
      </c>
      <c r="F203" s="26">
        <v>11</v>
      </c>
      <c r="G203" s="26">
        <v>14</v>
      </c>
      <c r="H203" s="26">
        <v>13</v>
      </c>
      <c r="I203" s="26">
        <v>2</v>
      </c>
      <c r="J203" s="26">
        <v>28</v>
      </c>
      <c r="K203" s="26">
        <v>46</v>
      </c>
      <c r="L203" s="26">
        <v>21</v>
      </c>
      <c r="M203" s="26">
        <v>5</v>
      </c>
      <c r="N203" s="18" t="s">
        <v>32</v>
      </c>
    </row>
    <row r="204" spans="1:14" x14ac:dyDescent="0.25">
      <c r="A204" s="18">
        <f t="shared" si="16"/>
        <v>515</v>
      </c>
      <c r="B204" s="24" t="s">
        <v>234</v>
      </c>
      <c r="C204" s="25">
        <v>42348</v>
      </c>
      <c r="D204" s="18" t="str">
        <f t="shared" si="14"/>
        <v>J</v>
      </c>
      <c r="E204" s="19">
        <f t="shared" si="15"/>
        <v>50</v>
      </c>
      <c r="F204" s="26">
        <v>21</v>
      </c>
      <c r="G204" s="26">
        <v>22</v>
      </c>
      <c r="H204" s="26">
        <v>32</v>
      </c>
      <c r="I204" s="26">
        <v>33</v>
      </c>
      <c r="J204" s="26">
        <v>38</v>
      </c>
      <c r="K204" s="26">
        <v>42</v>
      </c>
      <c r="L204" s="26">
        <v>17</v>
      </c>
      <c r="M204" s="26">
        <v>7</v>
      </c>
      <c r="N204" s="18" t="s">
        <v>32</v>
      </c>
    </row>
    <row r="205" spans="1:14" x14ac:dyDescent="0.25">
      <c r="A205" s="18">
        <f t="shared" si="16"/>
        <v>516</v>
      </c>
      <c r="B205" s="24" t="s">
        <v>235</v>
      </c>
      <c r="C205" s="25">
        <v>42350</v>
      </c>
      <c r="D205" s="18" t="str">
        <f t="shared" si="14"/>
        <v>S</v>
      </c>
      <c r="E205" s="19">
        <f t="shared" si="15"/>
        <v>50</v>
      </c>
      <c r="F205" s="26">
        <v>10</v>
      </c>
      <c r="G205" s="26">
        <v>22</v>
      </c>
      <c r="H205" s="26">
        <v>30</v>
      </c>
      <c r="I205" s="26">
        <v>36</v>
      </c>
      <c r="J205" s="26">
        <v>45</v>
      </c>
      <c r="K205" s="26">
        <v>47</v>
      </c>
      <c r="L205" s="26">
        <v>32</v>
      </c>
      <c r="M205" s="26">
        <v>2</v>
      </c>
      <c r="N205" s="18" t="s">
        <v>32</v>
      </c>
    </row>
    <row r="206" spans="1:14" x14ac:dyDescent="0.25">
      <c r="A206" s="18">
        <f t="shared" si="16"/>
        <v>517</v>
      </c>
      <c r="B206" s="24" t="s">
        <v>236</v>
      </c>
      <c r="C206" s="25">
        <v>42355</v>
      </c>
      <c r="D206" s="18" t="str">
        <f t="shared" si="14"/>
        <v>J</v>
      </c>
      <c r="E206" s="19">
        <f t="shared" si="15"/>
        <v>51</v>
      </c>
      <c r="F206" s="26">
        <v>11</v>
      </c>
      <c r="G206" s="26">
        <v>28</v>
      </c>
      <c r="H206" s="26">
        <v>34</v>
      </c>
      <c r="I206" s="26">
        <v>38</v>
      </c>
      <c r="J206" s="26">
        <v>46</v>
      </c>
      <c r="K206" s="26">
        <v>49</v>
      </c>
      <c r="L206" s="26">
        <v>16</v>
      </c>
      <c r="M206" s="26">
        <v>2</v>
      </c>
      <c r="N206" s="18" t="s">
        <v>32</v>
      </c>
    </row>
    <row r="207" spans="1:14" x14ac:dyDescent="0.25">
      <c r="A207" s="18">
        <f t="shared" si="16"/>
        <v>518</v>
      </c>
      <c r="B207" s="24" t="s">
        <v>237</v>
      </c>
      <c r="C207" s="25">
        <v>42357</v>
      </c>
      <c r="D207" s="18" t="str">
        <f t="shared" si="14"/>
        <v>S</v>
      </c>
      <c r="E207" s="19">
        <f t="shared" si="15"/>
        <v>51</v>
      </c>
      <c r="F207" s="26">
        <v>7</v>
      </c>
      <c r="G207" s="26">
        <v>8</v>
      </c>
      <c r="H207" s="26">
        <v>15</v>
      </c>
      <c r="I207" s="26">
        <v>16</v>
      </c>
      <c r="J207" s="26">
        <v>34</v>
      </c>
      <c r="K207" s="26">
        <v>35</v>
      </c>
      <c r="L207" s="26">
        <v>42</v>
      </c>
      <c r="M207" s="26">
        <v>0</v>
      </c>
      <c r="N207" s="18" t="s">
        <v>32</v>
      </c>
    </row>
    <row r="208" spans="1:14" x14ac:dyDescent="0.25">
      <c r="A208" s="18">
        <f t="shared" si="16"/>
        <v>519</v>
      </c>
      <c r="B208" s="24" t="s">
        <v>238</v>
      </c>
      <c r="C208" s="25">
        <v>42362</v>
      </c>
      <c r="D208" s="18" t="str">
        <f t="shared" si="14"/>
        <v>J</v>
      </c>
      <c r="E208" s="19">
        <f t="shared" si="15"/>
        <v>52</v>
      </c>
      <c r="F208" s="26">
        <v>3</v>
      </c>
      <c r="G208" s="26">
        <v>18</v>
      </c>
      <c r="H208" s="26">
        <v>26</v>
      </c>
      <c r="I208" s="26">
        <v>37</v>
      </c>
      <c r="J208" s="26">
        <v>38</v>
      </c>
      <c r="K208" s="26">
        <v>42</v>
      </c>
      <c r="L208" s="26">
        <v>19</v>
      </c>
      <c r="M208" s="26">
        <v>0</v>
      </c>
      <c r="N208" s="18" t="s">
        <v>32</v>
      </c>
    </row>
    <row r="209" spans="1:14" x14ac:dyDescent="0.25">
      <c r="A209" s="18">
        <f t="shared" si="16"/>
        <v>520</v>
      </c>
      <c r="B209" s="24" t="s">
        <v>239</v>
      </c>
      <c r="C209" s="25">
        <v>42364</v>
      </c>
      <c r="D209" s="18" t="str">
        <f t="shared" si="14"/>
        <v>S</v>
      </c>
      <c r="E209" s="19">
        <f t="shared" si="15"/>
        <v>52</v>
      </c>
      <c r="F209" s="26">
        <v>12</v>
      </c>
      <c r="G209" s="26">
        <v>15</v>
      </c>
      <c r="H209" s="26">
        <v>20</v>
      </c>
      <c r="I209" s="26">
        <v>41</v>
      </c>
      <c r="J209" s="26">
        <v>43</v>
      </c>
      <c r="K209" s="26">
        <v>47</v>
      </c>
      <c r="L209" s="26">
        <v>3</v>
      </c>
      <c r="M209" s="26">
        <v>7</v>
      </c>
      <c r="N209" s="18" t="s">
        <v>32</v>
      </c>
    </row>
    <row r="210" spans="1:14" x14ac:dyDescent="0.25">
      <c r="A210" s="18">
        <f t="shared" si="16"/>
        <v>521</v>
      </c>
      <c r="B210" s="24" t="s">
        <v>240</v>
      </c>
      <c r="C210" s="25">
        <v>42369</v>
      </c>
      <c r="D210" s="18" t="str">
        <f t="shared" si="14"/>
        <v>J</v>
      </c>
      <c r="E210" s="19">
        <f t="shared" si="15"/>
        <v>53</v>
      </c>
      <c r="F210" s="26">
        <v>5</v>
      </c>
      <c r="G210" s="26">
        <v>30</v>
      </c>
      <c r="H210" s="26">
        <v>33</v>
      </c>
      <c r="I210" s="26">
        <v>37</v>
      </c>
      <c r="J210" s="26">
        <v>41</v>
      </c>
      <c r="K210" s="26">
        <v>42</v>
      </c>
      <c r="L210" s="26">
        <v>24</v>
      </c>
      <c r="M210" s="26">
        <v>0</v>
      </c>
      <c r="N210" s="18" t="s">
        <v>32</v>
      </c>
    </row>
    <row r="211" spans="1:14" x14ac:dyDescent="0.25">
      <c r="A211" s="18">
        <f t="shared" si="16"/>
        <v>522</v>
      </c>
      <c r="B211" s="24" t="s">
        <v>241</v>
      </c>
      <c r="C211" s="25">
        <v>42371</v>
      </c>
      <c r="D211" s="18" t="str">
        <f t="shared" si="14"/>
        <v>S</v>
      </c>
      <c r="E211" s="19">
        <f t="shared" si="15"/>
        <v>53</v>
      </c>
      <c r="F211" s="26">
        <v>5</v>
      </c>
      <c r="G211" s="26">
        <v>6</v>
      </c>
      <c r="H211" s="26">
        <v>8</v>
      </c>
      <c r="I211" s="26">
        <v>10</v>
      </c>
      <c r="J211" s="26">
        <v>29</v>
      </c>
      <c r="K211" s="26">
        <v>37</v>
      </c>
      <c r="L211" s="26">
        <v>35</v>
      </c>
      <c r="M211" s="26">
        <v>9</v>
      </c>
      <c r="N211" s="18" t="s">
        <v>32</v>
      </c>
    </row>
    <row r="212" spans="1:14" x14ac:dyDescent="0.25">
      <c r="A212" s="18">
        <f t="shared" si="16"/>
        <v>523</v>
      </c>
      <c r="B212" s="24" t="s">
        <v>242</v>
      </c>
      <c r="C212" s="25">
        <v>42376</v>
      </c>
      <c r="D212" s="18" t="str">
        <f t="shared" si="14"/>
        <v>J</v>
      </c>
      <c r="E212" s="19">
        <f t="shared" si="15"/>
        <v>1</v>
      </c>
      <c r="F212" s="26">
        <v>15</v>
      </c>
      <c r="G212" s="26">
        <v>24</v>
      </c>
      <c r="H212" s="26">
        <v>31</v>
      </c>
      <c r="I212" s="26">
        <v>38</v>
      </c>
      <c r="J212" s="26">
        <v>41</v>
      </c>
      <c r="K212" s="26">
        <v>46</v>
      </c>
      <c r="L212" s="26">
        <v>32</v>
      </c>
      <c r="M212" s="26">
        <v>9</v>
      </c>
      <c r="N212" s="18" t="s">
        <v>32</v>
      </c>
    </row>
    <row r="213" spans="1:14" x14ac:dyDescent="0.25">
      <c r="A213" s="18">
        <f t="shared" si="16"/>
        <v>524</v>
      </c>
      <c r="B213" s="24" t="s">
        <v>243</v>
      </c>
      <c r="C213" s="25">
        <v>42378</v>
      </c>
      <c r="D213" s="18" t="str">
        <f t="shared" si="14"/>
        <v>S</v>
      </c>
      <c r="E213" s="19">
        <f t="shared" si="15"/>
        <v>1</v>
      </c>
      <c r="F213" s="26">
        <v>4</v>
      </c>
      <c r="G213" s="26">
        <v>10</v>
      </c>
      <c r="H213" s="26">
        <v>12</v>
      </c>
      <c r="I213" s="26">
        <v>14</v>
      </c>
      <c r="J213" s="26">
        <v>17</v>
      </c>
      <c r="K213" s="26">
        <v>47</v>
      </c>
      <c r="L213" s="26">
        <v>9</v>
      </c>
      <c r="M213" s="26">
        <v>0</v>
      </c>
      <c r="N213" s="18" t="s">
        <v>32</v>
      </c>
    </row>
    <row r="214" spans="1:14" x14ac:dyDescent="0.25">
      <c r="A214" s="18">
        <f t="shared" si="16"/>
        <v>525</v>
      </c>
      <c r="B214" s="24" t="s">
        <v>244</v>
      </c>
      <c r="C214" s="25">
        <v>42383</v>
      </c>
      <c r="D214" s="18" t="str">
        <f t="shared" si="14"/>
        <v>J</v>
      </c>
      <c r="E214" s="19">
        <f t="shared" si="15"/>
        <v>2</v>
      </c>
      <c r="F214" s="26">
        <v>4</v>
      </c>
      <c r="G214" s="26">
        <v>11</v>
      </c>
      <c r="H214" s="26">
        <v>19</v>
      </c>
      <c r="I214" s="26">
        <v>40</v>
      </c>
      <c r="J214" s="26">
        <v>46</v>
      </c>
      <c r="K214" s="26">
        <v>49</v>
      </c>
      <c r="L214" s="26">
        <v>45</v>
      </c>
      <c r="M214" s="26">
        <v>9</v>
      </c>
      <c r="N214" s="18" t="s">
        <v>32</v>
      </c>
    </row>
    <row r="215" spans="1:14" x14ac:dyDescent="0.25">
      <c r="A215" s="18">
        <f t="shared" si="16"/>
        <v>526</v>
      </c>
      <c r="B215" s="24" t="s">
        <v>245</v>
      </c>
      <c r="C215" s="25">
        <v>42385</v>
      </c>
      <c r="D215" s="18" t="str">
        <f t="shared" si="14"/>
        <v>S</v>
      </c>
      <c r="E215" s="19">
        <f t="shared" si="15"/>
        <v>2</v>
      </c>
      <c r="F215" s="26">
        <v>12</v>
      </c>
      <c r="G215" s="26">
        <v>17</v>
      </c>
      <c r="H215" s="26">
        <v>19</v>
      </c>
      <c r="I215" s="26">
        <v>27</v>
      </c>
      <c r="J215" s="26">
        <v>32</v>
      </c>
      <c r="K215" s="26">
        <v>48</v>
      </c>
      <c r="L215" s="26">
        <v>26</v>
      </c>
      <c r="M215" s="26">
        <v>6</v>
      </c>
      <c r="N215" s="18" t="s">
        <v>32</v>
      </c>
    </row>
    <row r="216" spans="1:14" x14ac:dyDescent="0.25">
      <c r="A216" s="18">
        <f t="shared" si="16"/>
        <v>527</v>
      </c>
      <c r="B216" s="24" t="s">
        <v>246</v>
      </c>
      <c r="C216" s="25">
        <v>42390</v>
      </c>
      <c r="D216" s="18" t="str">
        <f t="shared" si="14"/>
        <v>J</v>
      </c>
      <c r="E216" s="19">
        <f t="shared" si="15"/>
        <v>3</v>
      </c>
      <c r="F216" s="26">
        <v>4</v>
      </c>
      <c r="G216" s="26">
        <v>15</v>
      </c>
      <c r="H216" s="26">
        <v>17</v>
      </c>
      <c r="I216" s="26">
        <v>19</v>
      </c>
      <c r="J216" s="26">
        <v>24</v>
      </c>
      <c r="K216" s="26">
        <v>37</v>
      </c>
      <c r="L216" s="26">
        <v>21</v>
      </c>
      <c r="M216" s="26">
        <v>5</v>
      </c>
      <c r="N216" s="18" t="s">
        <v>32</v>
      </c>
    </row>
    <row r="217" spans="1:14" x14ac:dyDescent="0.25">
      <c r="A217" s="18">
        <f t="shared" si="16"/>
        <v>528</v>
      </c>
      <c r="B217" s="24" t="s">
        <v>247</v>
      </c>
      <c r="C217" s="25">
        <v>42392</v>
      </c>
      <c r="D217" s="18" t="str">
        <f t="shared" si="14"/>
        <v>S</v>
      </c>
      <c r="E217" s="19">
        <f t="shared" si="15"/>
        <v>3</v>
      </c>
      <c r="F217" s="26">
        <v>6</v>
      </c>
      <c r="G217" s="26">
        <v>10</v>
      </c>
      <c r="H217" s="26">
        <v>24</v>
      </c>
      <c r="I217" s="26">
        <v>27</v>
      </c>
      <c r="J217" s="26">
        <v>32</v>
      </c>
      <c r="K217" s="26">
        <v>45</v>
      </c>
      <c r="L217" s="26">
        <v>18</v>
      </c>
      <c r="M217" s="26">
        <v>2</v>
      </c>
      <c r="N217" s="18" t="s">
        <v>32</v>
      </c>
    </row>
    <row r="218" spans="1:14" x14ac:dyDescent="0.25">
      <c r="A218" s="18">
        <f t="shared" si="16"/>
        <v>529</v>
      </c>
      <c r="B218" s="24" t="s">
        <v>248</v>
      </c>
      <c r="C218" s="25">
        <v>42397</v>
      </c>
      <c r="D218" s="18" t="str">
        <f t="shared" ref="D218:D281" si="17">CHOOSE(WEEKDAY(C218),"D","L","M","X","J","V","S")</f>
        <v>J</v>
      </c>
      <c r="E218" s="19">
        <f t="shared" ref="E218:E281" si="18">WEEKNUM(C218,21)</f>
        <v>4</v>
      </c>
      <c r="F218" s="26">
        <v>6</v>
      </c>
      <c r="G218" s="26">
        <v>23</v>
      </c>
      <c r="H218" s="26">
        <v>30</v>
      </c>
      <c r="I218" s="26">
        <v>33</v>
      </c>
      <c r="J218" s="26">
        <v>37</v>
      </c>
      <c r="K218" s="26">
        <v>44</v>
      </c>
      <c r="L218" s="26">
        <v>10</v>
      </c>
      <c r="M218" s="26">
        <v>2</v>
      </c>
      <c r="N218" s="18" t="s">
        <v>32</v>
      </c>
    </row>
    <row r="219" spans="1:14" x14ac:dyDescent="0.25">
      <c r="A219" s="18">
        <f t="shared" si="16"/>
        <v>530</v>
      </c>
      <c r="B219" s="24" t="s">
        <v>249</v>
      </c>
      <c r="C219" s="25">
        <v>42399</v>
      </c>
      <c r="D219" s="18" t="str">
        <f t="shared" si="17"/>
        <v>S</v>
      </c>
      <c r="E219" s="19">
        <f t="shared" si="18"/>
        <v>4</v>
      </c>
      <c r="F219" s="26">
        <v>2</v>
      </c>
      <c r="G219" s="26">
        <v>6</v>
      </c>
      <c r="H219" s="26">
        <v>11</v>
      </c>
      <c r="I219" s="26">
        <v>33</v>
      </c>
      <c r="J219" s="26">
        <v>37</v>
      </c>
      <c r="K219" s="26">
        <v>46</v>
      </c>
      <c r="L219" s="26">
        <v>49</v>
      </c>
      <c r="M219" s="26">
        <v>8</v>
      </c>
      <c r="N219" s="18" t="s">
        <v>32</v>
      </c>
    </row>
    <row r="220" spans="1:14" x14ac:dyDescent="0.25">
      <c r="A220" s="18">
        <f t="shared" si="16"/>
        <v>531</v>
      </c>
      <c r="B220" s="24" t="s">
        <v>250</v>
      </c>
      <c r="C220" s="25">
        <v>42404</v>
      </c>
      <c r="D220" s="18" t="str">
        <f t="shared" si="17"/>
        <v>J</v>
      </c>
      <c r="E220" s="19">
        <f t="shared" si="18"/>
        <v>5</v>
      </c>
      <c r="F220" s="26">
        <v>3</v>
      </c>
      <c r="G220" s="26">
        <v>5</v>
      </c>
      <c r="H220" s="26">
        <v>22</v>
      </c>
      <c r="I220" s="26">
        <v>33</v>
      </c>
      <c r="J220" s="26">
        <v>39</v>
      </c>
      <c r="K220" s="26">
        <v>40</v>
      </c>
      <c r="L220" s="26">
        <v>32</v>
      </c>
      <c r="M220" s="26">
        <v>8</v>
      </c>
      <c r="N220" s="18" t="s">
        <v>32</v>
      </c>
    </row>
    <row r="221" spans="1:14" x14ac:dyDescent="0.25">
      <c r="A221" s="18">
        <f t="shared" si="16"/>
        <v>532</v>
      </c>
      <c r="B221" s="24" t="s">
        <v>251</v>
      </c>
      <c r="C221" s="25">
        <v>42406</v>
      </c>
      <c r="D221" s="18" t="str">
        <f t="shared" si="17"/>
        <v>S</v>
      </c>
      <c r="E221" s="19">
        <f t="shared" si="18"/>
        <v>5</v>
      </c>
      <c r="F221" s="26">
        <v>6</v>
      </c>
      <c r="G221" s="26">
        <v>11</v>
      </c>
      <c r="H221" s="26">
        <v>20</v>
      </c>
      <c r="I221" s="26">
        <v>26</v>
      </c>
      <c r="J221" s="26">
        <v>38</v>
      </c>
      <c r="K221" s="26">
        <v>46</v>
      </c>
      <c r="L221" s="26">
        <v>21</v>
      </c>
      <c r="M221" s="26">
        <v>6</v>
      </c>
      <c r="N221" s="18" t="s">
        <v>32</v>
      </c>
    </row>
    <row r="222" spans="1:14" x14ac:dyDescent="0.25">
      <c r="A222" s="18">
        <f t="shared" si="16"/>
        <v>533</v>
      </c>
      <c r="B222" s="24" t="s">
        <v>252</v>
      </c>
      <c r="C222" s="25">
        <v>42411</v>
      </c>
      <c r="D222" s="18" t="str">
        <f t="shared" si="17"/>
        <v>J</v>
      </c>
      <c r="E222" s="19">
        <f t="shared" si="18"/>
        <v>6</v>
      </c>
      <c r="F222" s="26">
        <v>2</v>
      </c>
      <c r="G222" s="26">
        <v>12</v>
      </c>
      <c r="H222" s="26">
        <v>18</v>
      </c>
      <c r="I222" s="26">
        <v>34</v>
      </c>
      <c r="J222" s="26">
        <v>37</v>
      </c>
      <c r="K222" s="26">
        <v>46</v>
      </c>
      <c r="L222" s="26">
        <v>30</v>
      </c>
      <c r="M222" s="26">
        <v>7</v>
      </c>
      <c r="N222" s="18" t="s">
        <v>32</v>
      </c>
    </row>
    <row r="223" spans="1:14" x14ac:dyDescent="0.25">
      <c r="A223" s="18">
        <f t="shared" si="16"/>
        <v>534</v>
      </c>
      <c r="B223" s="24" t="s">
        <v>253</v>
      </c>
      <c r="C223" s="25">
        <v>42413</v>
      </c>
      <c r="D223" s="18" t="str">
        <f t="shared" si="17"/>
        <v>S</v>
      </c>
      <c r="E223" s="19">
        <f t="shared" si="18"/>
        <v>6</v>
      </c>
      <c r="F223" s="26">
        <v>27</v>
      </c>
      <c r="G223" s="26">
        <v>30</v>
      </c>
      <c r="H223" s="26">
        <v>34</v>
      </c>
      <c r="I223" s="26">
        <v>43</v>
      </c>
      <c r="J223" s="26">
        <v>46</v>
      </c>
      <c r="K223" s="26">
        <v>49</v>
      </c>
      <c r="L223" s="26">
        <v>14</v>
      </c>
      <c r="M223" s="26">
        <v>1</v>
      </c>
      <c r="N223" s="18" t="s">
        <v>32</v>
      </c>
    </row>
    <row r="224" spans="1:14" x14ac:dyDescent="0.25">
      <c r="A224" s="18">
        <f t="shared" si="16"/>
        <v>535</v>
      </c>
      <c r="B224" s="24" t="s">
        <v>254</v>
      </c>
      <c r="C224" s="25">
        <v>42418</v>
      </c>
      <c r="D224" s="18" t="str">
        <f t="shared" si="17"/>
        <v>J</v>
      </c>
      <c r="E224" s="19">
        <f t="shared" si="18"/>
        <v>7</v>
      </c>
      <c r="F224" s="26">
        <v>3</v>
      </c>
      <c r="G224" s="26">
        <v>10</v>
      </c>
      <c r="H224" s="26">
        <v>28</v>
      </c>
      <c r="I224" s="26">
        <v>35</v>
      </c>
      <c r="J224" s="26">
        <v>47</v>
      </c>
      <c r="K224" s="26">
        <v>49</v>
      </c>
      <c r="L224" s="26">
        <v>8</v>
      </c>
      <c r="M224" s="26">
        <v>1</v>
      </c>
      <c r="N224" s="18" t="s">
        <v>32</v>
      </c>
    </row>
    <row r="225" spans="1:14" x14ac:dyDescent="0.25">
      <c r="A225" s="18">
        <f t="shared" si="16"/>
        <v>536</v>
      </c>
      <c r="B225" s="24" t="s">
        <v>255</v>
      </c>
      <c r="C225" s="25">
        <v>42420</v>
      </c>
      <c r="D225" s="18" t="str">
        <f t="shared" si="17"/>
        <v>S</v>
      </c>
      <c r="E225" s="19">
        <f t="shared" si="18"/>
        <v>7</v>
      </c>
      <c r="F225" s="26">
        <v>3</v>
      </c>
      <c r="G225" s="26">
        <v>11</v>
      </c>
      <c r="H225" s="26">
        <v>17</v>
      </c>
      <c r="I225" s="26">
        <v>41</v>
      </c>
      <c r="J225" s="26">
        <v>45</v>
      </c>
      <c r="K225" s="26">
        <v>47</v>
      </c>
      <c r="L225" s="26">
        <v>10</v>
      </c>
      <c r="M225" s="26">
        <v>6</v>
      </c>
      <c r="N225" s="18" t="s">
        <v>32</v>
      </c>
    </row>
    <row r="226" spans="1:14" x14ac:dyDescent="0.25">
      <c r="A226" s="18">
        <f t="shared" si="16"/>
        <v>537</v>
      </c>
      <c r="B226" s="24" t="s">
        <v>256</v>
      </c>
      <c r="C226" s="25">
        <v>42425</v>
      </c>
      <c r="D226" s="18" t="str">
        <f t="shared" si="17"/>
        <v>J</v>
      </c>
      <c r="E226" s="19">
        <f t="shared" si="18"/>
        <v>8</v>
      </c>
      <c r="F226" s="26">
        <v>11</v>
      </c>
      <c r="G226" s="26">
        <v>13</v>
      </c>
      <c r="H226" s="26">
        <v>17</v>
      </c>
      <c r="I226" s="26">
        <v>26</v>
      </c>
      <c r="J226" s="26">
        <v>34</v>
      </c>
      <c r="K226" s="26">
        <v>48</v>
      </c>
      <c r="L226" s="26">
        <v>19</v>
      </c>
      <c r="M226" s="26">
        <v>3</v>
      </c>
      <c r="N226" s="18" t="s">
        <v>32</v>
      </c>
    </row>
    <row r="227" spans="1:14" x14ac:dyDescent="0.25">
      <c r="A227" s="18">
        <f t="shared" si="16"/>
        <v>538</v>
      </c>
      <c r="B227" s="24" t="s">
        <v>257</v>
      </c>
      <c r="C227" s="25">
        <v>42427</v>
      </c>
      <c r="D227" s="18" t="str">
        <f t="shared" si="17"/>
        <v>S</v>
      </c>
      <c r="E227" s="19">
        <f t="shared" si="18"/>
        <v>8</v>
      </c>
      <c r="F227" s="26">
        <v>11</v>
      </c>
      <c r="G227" s="26">
        <v>5</v>
      </c>
      <c r="H227" s="26">
        <v>35</v>
      </c>
      <c r="I227" s="26">
        <v>32</v>
      </c>
      <c r="J227" s="26">
        <v>20</v>
      </c>
      <c r="K227" s="26">
        <v>43</v>
      </c>
      <c r="L227" s="26">
        <v>26</v>
      </c>
      <c r="M227" s="26">
        <v>6</v>
      </c>
      <c r="N227" s="18" t="s">
        <v>32</v>
      </c>
    </row>
    <row r="228" spans="1:14" x14ac:dyDescent="0.25">
      <c r="A228" s="18">
        <f t="shared" si="16"/>
        <v>539</v>
      </c>
      <c r="B228" s="24" t="s">
        <v>258</v>
      </c>
      <c r="C228" s="25">
        <v>42432</v>
      </c>
      <c r="D228" s="18" t="str">
        <f t="shared" si="17"/>
        <v>J</v>
      </c>
      <c r="E228" s="19">
        <f t="shared" si="18"/>
        <v>9</v>
      </c>
      <c r="F228" s="26">
        <v>2</v>
      </c>
      <c r="G228" s="26">
        <v>13</v>
      </c>
      <c r="H228" s="26">
        <v>14</v>
      </c>
      <c r="I228" s="26">
        <v>29</v>
      </c>
      <c r="J228" s="26">
        <v>43</v>
      </c>
      <c r="K228" s="26">
        <v>45</v>
      </c>
      <c r="L228" s="26">
        <v>46</v>
      </c>
      <c r="M228" s="26">
        <v>1</v>
      </c>
      <c r="N228" s="18" t="s">
        <v>32</v>
      </c>
    </row>
    <row r="229" spans="1:14" x14ac:dyDescent="0.25">
      <c r="A229" s="18">
        <f t="shared" si="16"/>
        <v>540</v>
      </c>
      <c r="B229" s="24" t="s">
        <v>259</v>
      </c>
      <c r="C229" s="25">
        <v>42434</v>
      </c>
      <c r="D229" s="18" t="str">
        <f t="shared" si="17"/>
        <v>S</v>
      </c>
      <c r="E229" s="19">
        <f t="shared" si="18"/>
        <v>9</v>
      </c>
      <c r="F229" s="26">
        <v>6</v>
      </c>
      <c r="G229" s="26">
        <v>7</v>
      </c>
      <c r="H229" s="26">
        <v>11</v>
      </c>
      <c r="I229" s="26">
        <v>28</v>
      </c>
      <c r="J229" s="26">
        <v>38</v>
      </c>
      <c r="K229" s="26">
        <v>45</v>
      </c>
      <c r="L229" s="26">
        <v>33</v>
      </c>
      <c r="M229" s="26">
        <v>6</v>
      </c>
      <c r="N229" s="18" t="s">
        <v>32</v>
      </c>
    </row>
    <row r="230" spans="1:14" x14ac:dyDescent="0.25">
      <c r="A230" s="18">
        <f t="shared" si="16"/>
        <v>541</v>
      </c>
      <c r="B230" s="24" t="s">
        <v>260</v>
      </c>
      <c r="C230" s="25">
        <v>42439</v>
      </c>
      <c r="D230" s="18" t="str">
        <f t="shared" si="17"/>
        <v>J</v>
      </c>
      <c r="E230" s="19">
        <f t="shared" si="18"/>
        <v>10</v>
      </c>
      <c r="F230" s="26">
        <v>3</v>
      </c>
      <c r="G230" s="26">
        <v>8</v>
      </c>
      <c r="H230" s="26">
        <v>24</v>
      </c>
      <c r="I230" s="26">
        <v>31</v>
      </c>
      <c r="J230" s="26">
        <v>32</v>
      </c>
      <c r="K230" s="26">
        <v>49</v>
      </c>
      <c r="L230" s="26">
        <v>15</v>
      </c>
      <c r="M230" s="26">
        <v>6</v>
      </c>
      <c r="N230" s="18" t="s">
        <v>32</v>
      </c>
    </row>
    <row r="231" spans="1:14" x14ac:dyDescent="0.25">
      <c r="A231" s="18">
        <f t="shared" si="16"/>
        <v>542</v>
      </c>
      <c r="B231" s="24" t="s">
        <v>261</v>
      </c>
      <c r="C231" s="25">
        <v>42441</v>
      </c>
      <c r="D231" s="18" t="str">
        <f t="shared" si="17"/>
        <v>S</v>
      </c>
      <c r="E231" s="19">
        <f t="shared" si="18"/>
        <v>10</v>
      </c>
      <c r="F231" s="26">
        <v>40</v>
      </c>
      <c r="G231" s="26">
        <v>27</v>
      </c>
      <c r="H231" s="26">
        <v>12</v>
      </c>
      <c r="I231" s="26">
        <v>37</v>
      </c>
      <c r="J231" s="26">
        <v>17</v>
      </c>
      <c r="K231" s="26">
        <v>23</v>
      </c>
      <c r="L231" s="26">
        <v>29</v>
      </c>
      <c r="M231" s="26">
        <v>2</v>
      </c>
      <c r="N231" s="18" t="s">
        <v>32</v>
      </c>
    </row>
    <row r="232" spans="1:14" x14ac:dyDescent="0.25">
      <c r="A232" s="18">
        <f t="shared" si="16"/>
        <v>543</v>
      </c>
      <c r="B232" s="24" t="s">
        <v>262</v>
      </c>
      <c r="C232" s="25">
        <v>42446</v>
      </c>
      <c r="D232" s="18" t="str">
        <f t="shared" si="17"/>
        <v>J</v>
      </c>
      <c r="E232" s="19">
        <f t="shared" si="18"/>
        <v>11</v>
      </c>
      <c r="F232" s="26">
        <v>8</v>
      </c>
      <c r="G232" s="26">
        <v>11</v>
      </c>
      <c r="H232" s="26">
        <v>12</v>
      </c>
      <c r="I232" s="26">
        <v>18</v>
      </c>
      <c r="J232" s="26">
        <v>36</v>
      </c>
      <c r="K232" s="26">
        <v>44</v>
      </c>
      <c r="L232" s="26">
        <v>43</v>
      </c>
      <c r="M232" s="26">
        <v>0</v>
      </c>
      <c r="N232" s="18" t="s">
        <v>32</v>
      </c>
    </row>
    <row r="233" spans="1:14" x14ac:dyDescent="0.25">
      <c r="A233" s="18">
        <f t="shared" si="16"/>
        <v>544</v>
      </c>
      <c r="B233" s="24" t="s">
        <v>263</v>
      </c>
      <c r="C233" s="25">
        <v>42448</v>
      </c>
      <c r="D233" s="18" t="str">
        <f t="shared" si="17"/>
        <v>S</v>
      </c>
      <c r="E233" s="19">
        <f t="shared" si="18"/>
        <v>11</v>
      </c>
      <c r="F233" s="26">
        <v>17</v>
      </c>
      <c r="G233" s="26">
        <v>14</v>
      </c>
      <c r="H233" s="26">
        <v>9</v>
      </c>
      <c r="I233" s="26">
        <v>40</v>
      </c>
      <c r="J233" s="26">
        <v>27</v>
      </c>
      <c r="K233" s="26">
        <v>20</v>
      </c>
      <c r="L233" s="26">
        <v>46</v>
      </c>
      <c r="M233" s="26">
        <v>3</v>
      </c>
      <c r="N233" s="18" t="s">
        <v>32</v>
      </c>
    </row>
    <row r="234" spans="1:14" x14ac:dyDescent="0.25">
      <c r="A234" s="18">
        <f t="shared" si="16"/>
        <v>545</v>
      </c>
      <c r="B234" s="24" t="s">
        <v>264</v>
      </c>
      <c r="C234" s="25">
        <v>42453</v>
      </c>
      <c r="D234" s="18" t="str">
        <f t="shared" si="17"/>
        <v>J</v>
      </c>
      <c r="E234" s="19">
        <f t="shared" si="18"/>
        <v>12</v>
      </c>
      <c r="F234" s="26">
        <v>1</v>
      </c>
      <c r="G234" s="26">
        <v>12</v>
      </c>
      <c r="H234" s="26">
        <v>13</v>
      </c>
      <c r="I234" s="26">
        <v>23</v>
      </c>
      <c r="J234" s="26">
        <v>40</v>
      </c>
      <c r="K234" s="26">
        <v>43</v>
      </c>
      <c r="L234" s="26">
        <v>48</v>
      </c>
      <c r="M234" s="26">
        <v>2</v>
      </c>
      <c r="N234" s="18" t="s">
        <v>32</v>
      </c>
    </row>
    <row r="235" spans="1:14" x14ac:dyDescent="0.25">
      <c r="A235" s="18">
        <f t="shared" si="16"/>
        <v>546</v>
      </c>
      <c r="B235" s="24" t="s">
        <v>265</v>
      </c>
      <c r="C235" s="25">
        <v>42455</v>
      </c>
      <c r="D235" s="18" t="str">
        <f t="shared" si="17"/>
        <v>S</v>
      </c>
      <c r="E235" s="19">
        <f t="shared" si="18"/>
        <v>12</v>
      </c>
      <c r="F235" s="26">
        <v>19</v>
      </c>
      <c r="G235" s="26">
        <v>21</v>
      </c>
      <c r="H235" s="26">
        <v>28</v>
      </c>
      <c r="I235" s="26">
        <v>32</v>
      </c>
      <c r="J235" s="26">
        <v>43</v>
      </c>
      <c r="K235" s="26">
        <v>48</v>
      </c>
      <c r="L235" s="26">
        <v>9</v>
      </c>
      <c r="M235" s="26">
        <v>4</v>
      </c>
      <c r="N235" s="18" t="s">
        <v>32</v>
      </c>
    </row>
    <row r="236" spans="1:14" x14ac:dyDescent="0.25">
      <c r="A236" s="18">
        <f t="shared" si="16"/>
        <v>547</v>
      </c>
      <c r="B236" s="24" t="s">
        <v>266</v>
      </c>
      <c r="C236" s="25">
        <v>42460</v>
      </c>
      <c r="D236" s="18" t="str">
        <f t="shared" si="17"/>
        <v>J</v>
      </c>
      <c r="E236" s="19">
        <f t="shared" si="18"/>
        <v>13</v>
      </c>
      <c r="F236" s="26">
        <v>1</v>
      </c>
      <c r="G236" s="26">
        <v>8</v>
      </c>
      <c r="H236" s="26">
        <v>10</v>
      </c>
      <c r="I236" s="26">
        <v>12</v>
      </c>
      <c r="J236" s="26">
        <v>26</v>
      </c>
      <c r="K236" s="26">
        <v>27</v>
      </c>
      <c r="L236" s="26">
        <v>6</v>
      </c>
      <c r="M236" s="26">
        <v>5</v>
      </c>
      <c r="N236" s="18" t="s">
        <v>32</v>
      </c>
    </row>
    <row r="237" spans="1:14" x14ac:dyDescent="0.25">
      <c r="A237" s="18">
        <f t="shared" si="16"/>
        <v>548</v>
      </c>
      <c r="B237" s="24" t="s">
        <v>267</v>
      </c>
      <c r="C237" s="25">
        <v>42462</v>
      </c>
      <c r="D237" s="18" t="str">
        <f t="shared" si="17"/>
        <v>S</v>
      </c>
      <c r="E237" s="19">
        <f t="shared" si="18"/>
        <v>13</v>
      </c>
      <c r="F237" s="26">
        <v>6</v>
      </c>
      <c r="G237" s="26">
        <v>7</v>
      </c>
      <c r="H237" s="26">
        <v>15</v>
      </c>
      <c r="I237" s="26">
        <v>27</v>
      </c>
      <c r="J237" s="26">
        <v>32</v>
      </c>
      <c r="K237" s="26">
        <v>40</v>
      </c>
      <c r="L237" s="26">
        <v>43</v>
      </c>
      <c r="M237" s="26">
        <v>3</v>
      </c>
      <c r="N237" s="18" t="s">
        <v>32</v>
      </c>
    </row>
    <row r="238" spans="1:14" x14ac:dyDescent="0.25">
      <c r="A238" s="18">
        <f t="shared" si="16"/>
        <v>549</v>
      </c>
      <c r="B238" s="24" t="s">
        <v>268</v>
      </c>
      <c r="C238" s="25">
        <v>42467</v>
      </c>
      <c r="D238" s="18" t="str">
        <f t="shared" si="17"/>
        <v>J</v>
      </c>
      <c r="E238" s="19">
        <f t="shared" si="18"/>
        <v>14</v>
      </c>
      <c r="F238" s="26">
        <v>1</v>
      </c>
      <c r="G238" s="26">
        <v>11</v>
      </c>
      <c r="H238" s="26">
        <v>22</v>
      </c>
      <c r="I238" s="26">
        <v>28</v>
      </c>
      <c r="J238" s="26">
        <v>38</v>
      </c>
      <c r="K238" s="26">
        <v>44</v>
      </c>
      <c r="L238" s="26">
        <v>40</v>
      </c>
      <c r="M238" s="26">
        <v>9</v>
      </c>
      <c r="N238" s="18" t="s">
        <v>32</v>
      </c>
    </row>
    <row r="239" spans="1:14" x14ac:dyDescent="0.25">
      <c r="A239" s="18">
        <f t="shared" si="16"/>
        <v>550</v>
      </c>
      <c r="B239" s="24" t="s">
        <v>269</v>
      </c>
      <c r="C239" s="25">
        <v>42469</v>
      </c>
      <c r="D239" s="18" t="str">
        <f t="shared" si="17"/>
        <v>S</v>
      </c>
      <c r="E239" s="19">
        <f t="shared" si="18"/>
        <v>14</v>
      </c>
      <c r="F239" s="26">
        <v>1</v>
      </c>
      <c r="G239" s="26">
        <v>17</v>
      </c>
      <c r="H239" s="26">
        <v>25</v>
      </c>
      <c r="I239" s="26">
        <v>29</v>
      </c>
      <c r="J239" s="26">
        <v>30</v>
      </c>
      <c r="K239" s="26">
        <v>40</v>
      </c>
      <c r="L239" s="26">
        <v>2</v>
      </c>
      <c r="M239" s="26">
        <v>0</v>
      </c>
      <c r="N239" s="18" t="s">
        <v>32</v>
      </c>
    </row>
    <row r="240" spans="1:14" x14ac:dyDescent="0.25">
      <c r="A240" s="18">
        <f t="shared" si="16"/>
        <v>551</v>
      </c>
      <c r="B240" s="24" t="s">
        <v>270</v>
      </c>
      <c r="C240" s="25">
        <v>42474</v>
      </c>
      <c r="D240" s="18" t="str">
        <f t="shared" si="17"/>
        <v>J</v>
      </c>
      <c r="E240" s="19">
        <f t="shared" si="18"/>
        <v>15</v>
      </c>
      <c r="F240" s="26">
        <v>2</v>
      </c>
      <c r="G240" s="26">
        <v>11</v>
      </c>
      <c r="H240" s="26">
        <v>27</v>
      </c>
      <c r="I240" s="26">
        <v>29</v>
      </c>
      <c r="J240" s="26">
        <v>31</v>
      </c>
      <c r="K240" s="26">
        <v>48</v>
      </c>
      <c r="L240" s="26">
        <v>4</v>
      </c>
      <c r="M240" s="26">
        <v>2</v>
      </c>
      <c r="N240" s="18" t="s">
        <v>32</v>
      </c>
    </row>
    <row r="241" spans="1:14" x14ac:dyDescent="0.25">
      <c r="A241" s="18">
        <f t="shared" si="16"/>
        <v>552</v>
      </c>
      <c r="B241" s="24" t="s">
        <v>271</v>
      </c>
      <c r="C241" s="25">
        <v>42476</v>
      </c>
      <c r="D241" s="18" t="str">
        <f t="shared" si="17"/>
        <v>S</v>
      </c>
      <c r="E241" s="19">
        <f t="shared" si="18"/>
        <v>15</v>
      </c>
      <c r="F241" s="26">
        <v>2</v>
      </c>
      <c r="G241" s="26">
        <v>3</v>
      </c>
      <c r="H241" s="26">
        <v>12</v>
      </c>
      <c r="I241" s="26">
        <v>16</v>
      </c>
      <c r="J241" s="26">
        <v>32</v>
      </c>
      <c r="K241" s="26">
        <v>40</v>
      </c>
      <c r="L241" s="26">
        <v>23</v>
      </c>
      <c r="M241" s="26">
        <v>9</v>
      </c>
      <c r="N241" s="18" t="s">
        <v>32</v>
      </c>
    </row>
    <row r="242" spans="1:14" x14ac:dyDescent="0.25">
      <c r="A242" s="18">
        <f t="shared" si="16"/>
        <v>553</v>
      </c>
      <c r="B242" s="24" t="s">
        <v>272</v>
      </c>
      <c r="C242" s="25">
        <v>42481</v>
      </c>
      <c r="D242" s="18" t="str">
        <f t="shared" si="17"/>
        <v>J</v>
      </c>
      <c r="E242" s="19">
        <f t="shared" si="18"/>
        <v>16</v>
      </c>
      <c r="F242" s="26">
        <v>1</v>
      </c>
      <c r="G242" s="26">
        <v>2</v>
      </c>
      <c r="H242" s="26">
        <v>6</v>
      </c>
      <c r="I242" s="26">
        <v>25</v>
      </c>
      <c r="J242" s="26">
        <v>31</v>
      </c>
      <c r="K242" s="26">
        <v>44</v>
      </c>
      <c r="L242" s="26">
        <v>49</v>
      </c>
      <c r="M242" s="26">
        <v>6</v>
      </c>
      <c r="N242" s="18" t="s">
        <v>32</v>
      </c>
    </row>
    <row r="243" spans="1:14" x14ac:dyDescent="0.25">
      <c r="A243" s="18">
        <f t="shared" si="16"/>
        <v>554</v>
      </c>
      <c r="B243" s="24" t="s">
        <v>273</v>
      </c>
      <c r="C243" s="25">
        <v>42483</v>
      </c>
      <c r="D243" s="18" t="str">
        <f t="shared" si="17"/>
        <v>S</v>
      </c>
      <c r="E243" s="19">
        <f t="shared" si="18"/>
        <v>16</v>
      </c>
      <c r="F243" s="26">
        <v>5</v>
      </c>
      <c r="G243" s="26">
        <v>6</v>
      </c>
      <c r="H243" s="26">
        <v>8</v>
      </c>
      <c r="I243" s="26">
        <v>26</v>
      </c>
      <c r="J243" s="26">
        <v>39</v>
      </c>
      <c r="K243" s="26">
        <v>40</v>
      </c>
      <c r="L243" s="26">
        <v>2</v>
      </c>
      <c r="M243" s="26">
        <v>3</v>
      </c>
      <c r="N243" s="18" t="s">
        <v>32</v>
      </c>
    </row>
    <row r="244" spans="1:14" x14ac:dyDescent="0.25">
      <c r="A244" s="18">
        <f t="shared" si="16"/>
        <v>555</v>
      </c>
      <c r="B244" s="24" t="s">
        <v>274</v>
      </c>
      <c r="C244" s="25">
        <v>42488</v>
      </c>
      <c r="D244" s="18" t="str">
        <f t="shared" si="17"/>
        <v>J</v>
      </c>
      <c r="E244" s="19">
        <f t="shared" si="18"/>
        <v>17</v>
      </c>
      <c r="F244" s="26">
        <v>3</v>
      </c>
      <c r="G244" s="26">
        <v>10</v>
      </c>
      <c r="H244" s="26">
        <v>33</v>
      </c>
      <c r="I244" s="26">
        <v>35</v>
      </c>
      <c r="J244" s="26">
        <v>43</v>
      </c>
      <c r="K244" s="26">
        <v>44</v>
      </c>
      <c r="L244" s="26">
        <v>20</v>
      </c>
      <c r="M244" s="26">
        <v>2</v>
      </c>
      <c r="N244" s="18" t="s">
        <v>32</v>
      </c>
    </row>
    <row r="245" spans="1:14" x14ac:dyDescent="0.25">
      <c r="A245" s="18">
        <f t="shared" si="16"/>
        <v>556</v>
      </c>
      <c r="B245" s="24" t="s">
        <v>275</v>
      </c>
      <c r="C245" s="25">
        <v>42490</v>
      </c>
      <c r="D245" s="18" t="str">
        <f t="shared" si="17"/>
        <v>S</v>
      </c>
      <c r="E245" s="19">
        <f t="shared" si="18"/>
        <v>17</v>
      </c>
      <c r="F245" s="26">
        <v>4</v>
      </c>
      <c r="G245" s="26">
        <v>13</v>
      </c>
      <c r="H245" s="26">
        <v>31</v>
      </c>
      <c r="I245" s="26">
        <v>41</v>
      </c>
      <c r="J245" s="26">
        <v>43</v>
      </c>
      <c r="K245" s="26">
        <v>48</v>
      </c>
      <c r="L245" s="26">
        <v>34</v>
      </c>
      <c r="M245" s="26">
        <v>7</v>
      </c>
      <c r="N245" s="18" t="s">
        <v>32</v>
      </c>
    </row>
    <row r="246" spans="1:14" x14ac:dyDescent="0.25">
      <c r="A246" s="18">
        <f t="shared" si="16"/>
        <v>557</v>
      </c>
      <c r="B246" s="24" t="s">
        <v>276</v>
      </c>
      <c r="C246" s="25">
        <v>42495</v>
      </c>
      <c r="D246" s="18" t="str">
        <f t="shared" si="17"/>
        <v>J</v>
      </c>
      <c r="E246" s="19">
        <f t="shared" si="18"/>
        <v>18</v>
      </c>
      <c r="F246" s="26">
        <v>8</v>
      </c>
      <c r="G246" s="26">
        <v>26</v>
      </c>
      <c r="H246" s="26">
        <v>42</v>
      </c>
      <c r="I246" s="26">
        <v>46</v>
      </c>
      <c r="J246" s="26">
        <v>48</v>
      </c>
      <c r="K246" s="26">
        <v>49</v>
      </c>
      <c r="L246" s="26">
        <v>40</v>
      </c>
      <c r="M246" s="26">
        <v>8</v>
      </c>
      <c r="N246" s="18" t="s">
        <v>32</v>
      </c>
    </row>
    <row r="247" spans="1:14" x14ac:dyDescent="0.25">
      <c r="A247" s="18">
        <f t="shared" si="16"/>
        <v>558</v>
      </c>
      <c r="B247" s="24" t="s">
        <v>277</v>
      </c>
      <c r="C247" s="25">
        <v>42497</v>
      </c>
      <c r="D247" s="18" t="str">
        <f t="shared" si="17"/>
        <v>S</v>
      </c>
      <c r="E247" s="19">
        <f t="shared" si="18"/>
        <v>18</v>
      </c>
      <c r="F247" s="26">
        <v>4</v>
      </c>
      <c r="G247" s="26">
        <v>5</v>
      </c>
      <c r="H247" s="26">
        <v>16</v>
      </c>
      <c r="I247" s="26">
        <v>18</v>
      </c>
      <c r="J247" s="26">
        <v>21</v>
      </c>
      <c r="K247" s="26">
        <v>36</v>
      </c>
      <c r="L247" s="26">
        <v>23</v>
      </c>
      <c r="M247" s="26">
        <v>9</v>
      </c>
      <c r="N247" s="18" t="s">
        <v>32</v>
      </c>
    </row>
    <row r="248" spans="1:14" x14ac:dyDescent="0.25">
      <c r="A248" s="18">
        <f t="shared" si="16"/>
        <v>559</v>
      </c>
      <c r="B248" s="24" t="s">
        <v>278</v>
      </c>
      <c r="C248" s="25">
        <v>42502</v>
      </c>
      <c r="D248" s="18" t="str">
        <f t="shared" si="17"/>
        <v>J</v>
      </c>
      <c r="E248" s="19">
        <f t="shared" si="18"/>
        <v>19</v>
      </c>
      <c r="F248" s="26">
        <v>18</v>
      </c>
      <c r="G248" s="26">
        <v>22</v>
      </c>
      <c r="H248" s="26">
        <v>23</v>
      </c>
      <c r="I248" s="26">
        <v>25</v>
      </c>
      <c r="J248" s="26">
        <v>42</v>
      </c>
      <c r="K248" s="26">
        <v>44</v>
      </c>
      <c r="L248" s="26">
        <v>7</v>
      </c>
      <c r="M248" s="26">
        <v>2</v>
      </c>
      <c r="N248" s="18" t="s">
        <v>32</v>
      </c>
    </row>
    <row r="249" spans="1:14" x14ac:dyDescent="0.25">
      <c r="A249" s="18">
        <f t="shared" si="16"/>
        <v>560</v>
      </c>
      <c r="B249" s="24" t="s">
        <v>279</v>
      </c>
      <c r="C249" s="25">
        <v>42504</v>
      </c>
      <c r="D249" s="18" t="str">
        <f t="shared" si="17"/>
        <v>S</v>
      </c>
      <c r="E249" s="19">
        <f t="shared" si="18"/>
        <v>19</v>
      </c>
      <c r="F249" s="26">
        <v>5</v>
      </c>
      <c r="G249" s="26">
        <v>10</v>
      </c>
      <c r="H249" s="26">
        <v>12</v>
      </c>
      <c r="I249" s="26">
        <v>22</v>
      </c>
      <c r="J249" s="26">
        <v>34</v>
      </c>
      <c r="K249" s="26">
        <v>35</v>
      </c>
      <c r="L249" s="26">
        <v>18</v>
      </c>
      <c r="M249" s="26">
        <v>9</v>
      </c>
      <c r="N249" s="18" t="s">
        <v>32</v>
      </c>
    </row>
    <row r="250" spans="1:14" x14ac:dyDescent="0.25">
      <c r="A250" s="18">
        <f t="shared" si="16"/>
        <v>561</v>
      </c>
      <c r="B250" s="24" t="s">
        <v>280</v>
      </c>
      <c r="C250" s="25">
        <v>42509</v>
      </c>
      <c r="D250" s="18" t="str">
        <f t="shared" si="17"/>
        <v>J</v>
      </c>
      <c r="E250" s="19">
        <f t="shared" si="18"/>
        <v>20</v>
      </c>
      <c r="F250" s="26">
        <v>1</v>
      </c>
      <c r="G250" s="26">
        <v>30</v>
      </c>
      <c r="H250" s="26">
        <v>40</v>
      </c>
      <c r="I250" s="26">
        <v>43</v>
      </c>
      <c r="J250" s="26">
        <v>45</v>
      </c>
      <c r="K250" s="26">
        <v>48</v>
      </c>
      <c r="L250" s="26">
        <v>2</v>
      </c>
      <c r="M250" s="26">
        <v>3</v>
      </c>
      <c r="N250" s="18" t="s">
        <v>32</v>
      </c>
    </row>
    <row r="251" spans="1:14" x14ac:dyDescent="0.25">
      <c r="A251" s="18">
        <f t="shared" si="16"/>
        <v>562</v>
      </c>
      <c r="B251" s="24" t="s">
        <v>281</v>
      </c>
      <c r="C251" s="25">
        <v>42511</v>
      </c>
      <c r="D251" s="18" t="str">
        <f t="shared" si="17"/>
        <v>S</v>
      </c>
      <c r="E251" s="19">
        <f t="shared" si="18"/>
        <v>20</v>
      </c>
      <c r="F251" s="26">
        <v>7</v>
      </c>
      <c r="G251" s="26">
        <v>10</v>
      </c>
      <c r="H251" s="26">
        <v>13</v>
      </c>
      <c r="I251" s="26">
        <v>15</v>
      </c>
      <c r="J251" s="26">
        <v>35</v>
      </c>
      <c r="K251" s="26">
        <v>38</v>
      </c>
      <c r="L251" s="26">
        <v>39</v>
      </c>
      <c r="M251" s="26">
        <v>4</v>
      </c>
      <c r="N251" s="18" t="s">
        <v>32</v>
      </c>
    </row>
    <row r="252" spans="1:14" x14ac:dyDescent="0.25">
      <c r="A252" s="18">
        <f t="shared" si="16"/>
        <v>563</v>
      </c>
      <c r="B252" s="24" t="s">
        <v>282</v>
      </c>
      <c r="C252" s="25">
        <v>42516</v>
      </c>
      <c r="D252" s="18" t="str">
        <f t="shared" si="17"/>
        <v>J</v>
      </c>
      <c r="E252" s="19">
        <f t="shared" si="18"/>
        <v>21</v>
      </c>
      <c r="F252" s="26">
        <v>3</v>
      </c>
      <c r="G252" s="26">
        <v>11</v>
      </c>
      <c r="H252" s="26">
        <v>13</v>
      </c>
      <c r="I252" s="26">
        <v>23</v>
      </c>
      <c r="J252" s="26">
        <v>32</v>
      </c>
      <c r="K252" s="26">
        <v>47</v>
      </c>
      <c r="L252" s="26">
        <v>19</v>
      </c>
      <c r="M252" s="26">
        <v>0</v>
      </c>
      <c r="N252" s="18" t="s">
        <v>32</v>
      </c>
    </row>
    <row r="253" spans="1:14" x14ac:dyDescent="0.25">
      <c r="A253" s="18">
        <f t="shared" si="16"/>
        <v>564</v>
      </c>
      <c r="B253" s="24" t="s">
        <v>283</v>
      </c>
      <c r="C253" s="25">
        <v>42518</v>
      </c>
      <c r="D253" s="18" t="str">
        <f t="shared" si="17"/>
        <v>S</v>
      </c>
      <c r="E253" s="19">
        <f t="shared" si="18"/>
        <v>21</v>
      </c>
      <c r="F253" s="26">
        <v>20</v>
      </c>
      <c r="G253" s="26">
        <v>28</v>
      </c>
      <c r="H253" s="26">
        <v>30</v>
      </c>
      <c r="I253" s="26">
        <v>36</v>
      </c>
      <c r="J253" s="26">
        <v>41</v>
      </c>
      <c r="K253" s="26">
        <v>46</v>
      </c>
      <c r="L253" s="26">
        <v>2</v>
      </c>
      <c r="M253" s="26">
        <v>1</v>
      </c>
      <c r="N253" s="18" t="s">
        <v>32</v>
      </c>
    </row>
    <row r="254" spans="1:14" x14ac:dyDescent="0.25">
      <c r="A254" s="18">
        <f t="shared" si="16"/>
        <v>565</v>
      </c>
      <c r="B254" s="24" t="s">
        <v>284</v>
      </c>
      <c r="C254" s="25">
        <v>42523</v>
      </c>
      <c r="D254" s="18" t="str">
        <f t="shared" si="17"/>
        <v>J</v>
      </c>
      <c r="E254" s="19">
        <f t="shared" si="18"/>
        <v>22</v>
      </c>
      <c r="F254" s="26">
        <v>27</v>
      </c>
      <c r="G254" s="26">
        <v>35</v>
      </c>
      <c r="H254" s="26">
        <v>38</v>
      </c>
      <c r="I254" s="26">
        <v>45</v>
      </c>
      <c r="J254" s="26">
        <v>46</v>
      </c>
      <c r="K254" s="26">
        <v>47</v>
      </c>
      <c r="L254" s="26">
        <v>23</v>
      </c>
      <c r="M254" s="26">
        <v>6</v>
      </c>
      <c r="N254" s="18" t="s">
        <v>32</v>
      </c>
    </row>
    <row r="255" spans="1:14" x14ac:dyDescent="0.25">
      <c r="A255" s="18">
        <f t="shared" si="16"/>
        <v>566</v>
      </c>
      <c r="B255" s="24" t="s">
        <v>285</v>
      </c>
      <c r="C255" s="25">
        <v>42525</v>
      </c>
      <c r="D255" s="18" t="str">
        <f t="shared" si="17"/>
        <v>S</v>
      </c>
      <c r="E255" s="19">
        <f t="shared" si="18"/>
        <v>22</v>
      </c>
      <c r="F255" s="26">
        <v>1</v>
      </c>
      <c r="G255" s="26">
        <v>11</v>
      </c>
      <c r="H255" s="26">
        <v>14</v>
      </c>
      <c r="I255" s="26">
        <v>16</v>
      </c>
      <c r="J255" s="26">
        <v>20</v>
      </c>
      <c r="K255" s="26">
        <v>41</v>
      </c>
      <c r="L255" s="26">
        <v>10</v>
      </c>
      <c r="M255" s="26">
        <v>1</v>
      </c>
      <c r="N255" s="18" t="s">
        <v>32</v>
      </c>
    </row>
    <row r="256" spans="1:14" x14ac:dyDescent="0.25">
      <c r="A256" s="18">
        <f t="shared" si="16"/>
        <v>567</v>
      </c>
      <c r="B256" s="24" t="s">
        <v>286</v>
      </c>
      <c r="C256" s="25">
        <v>42530</v>
      </c>
      <c r="D256" s="18" t="str">
        <f t="shared" si="17"/>
        <v>J</v>
      </c>
      <c r="E256" s="19">
        <f t="shared" si="18"/>
        <v>23</v>
      </c>
      <c r="F256" s="26">
        <v>2</v>
      </c>
      <c r="G256" s="26">
        <v>9</v>
      </c>
      <c r="H256" s="26">
        <v>10</v>
      </c>
      <c r="I256" s="26">
        <v>14</v>
      </c>
      <c r="J256" s="26">
        <v>25</v>
      </c>
      <c r="K256" s="26">
        <v>41</v>
      </c>
      <c r="L256" s="26">
        <v>3</v>
      </c>
      <c r="M256" s="26">
        <v>4</v>
      </c>
      <c r="N256" s="18" t="s">
        <v>32</v>
      </c>
    </row>
    <row r="257" spans="1:14" x14ac:dyDescent="0.25">
      <c r="A257" s="18">
        <f t="shared" si="16"/>
        <v>568</v>
      </c>
      <c r="B257" s="24" t="s">
        <v>287</v>
      </c>
      <c r="C257" s="25">
        <v>42532</v>
      </c>
      <c r="D257" s="18" t="str">
        <f t="shared" si="17"/>
        <v>S</v>
      </c>
      <c r="E257" s="19">
        <f t="shared" si="18"/>
        <v>23</v>
      </c>
      <c r="F257" s="26">
        <v>17</v>
      </c>
      <c r="G257" s="26">
        <v>26</v>
      </c>
      <c r="H257" s="26">
        <v>36</v>
      </c>
      <c r="I257" s="26">
        <v>37</v>
      </c>
      <c r="J257" s="26">
        <v>38</v>
      </c>
      <c r="K257" s="26">
        <v>46</v>
      </c>
      <c r="L257" s="26">
        <v>20</v>
      </c>
      <c r="M257" s="26">
        <v>3</v>
      </c>
      <c r="N257" s="18" t="s">
        <v>32</v>
      </c>
    </row>
    <row r="258" spans="1:14" x14ac:dyDescent="0.25">
      <c r="A258" s="18">
        <f t="shared" si="16"/>
        <v>569</v>
      </c>
      <c r="B258" s="24" t="s">
        <v>288</v>
      </c>
      <c r="C258" s="25">
        <v>42537</v>
      </c>
      <c r="D258" s="18" t="str">
        <f t="shared" si="17"/>
        <v>J</v>
      </c>
      <c r="E258" s="19">
        <f t="shared" si="18"/>
        <v>24</v>
      </c>
      <c r="F258" s="26">
        <v>8</v>
      </c>
      <c r="G258" s="26">
        <v>9</v>
      </c>
      <c r="H258" s="26">
        <v>15</v>
      </c>
      <c r="I258" s="26">
        <v>19</v>
      </c>
      <c r="J258" s="26">
        <v>21</v>
      </c>
      <c r="K258" s="26">
        <v>49</v>
      </c>
      <c r="L258" s="26">
        <v>44</v>
      </c>
      <c r="M258" s="26">
        <v>5</v>
      </c>
      <c r="N258" s="18" t="s">
        <v>32</v>
      </c>
    </row>
    <row r="259" spans="1:14" x14ac:dyDescent="0.25">
      <c r="A259" s="18">
        <f t="shared" si="16"/>
        <v>570</v>
      </c>
      <c r="B259" s="24" t="s">
        <v>289</v>
      </c>
      <c r="C259" s="25">
        <v>42539</v>
      </c>
      <c r="D259" s="18" t="str">
        <f t="shared" si="17"/>
        <v>S</v>
      </c>
      <c r="E259" s="19">
        <f t="shared" si="18"/>
        <v>24</v>
      </c>
      <c r="F259" s="26">
        <v>2</v>
      </c>
      <c r="G259" s="26">
        <v>10</v>
      </c>
      <c r="H259" s="26">
        <v>14</v>
      </c>
      <c r="I259" s="26">
        <v>16</v>
      </c>
      <c r="J259" s="26">
        <v>27</v>
      </c>
      <c r="K259" s="26">
        <v>44</v>
      </c>
      <c r="L259" s="26">
        <v>24</v>
      </c>
      <c r="M259" s="26">
        <v>8</v>
      </c>
      <c r="N259" s="18" t="s">
        <v>32</v>
      </c>
    </row>
    <row r="260" spans="1:14" x14ac:dyDescent="0.25">
      <c r="A260" s="18">
        <f t="shared" ref="A260:A323" si="19">+A259+1</f>
        <v>571</v>
      </c>
      <c r="B260" s="24" t="s">
        <v>290</v>
      </c>
      <c r="C260" s="25">
        <v>42544</v>
      </c>
      <c r="D260" s="18" t="str">
        <f t="shared" si="17"/>
        <v>J</v>
      </c>
      <c r="E260" s="19">
        <f t="shared" si="18"/>
        <v>25</v>
      </c>
      <c r="F260" s="26">
        <v>9</v>
      </c>
      <c r="G260" s="26">
        <v>16</v>
      </c>
      <c r="H260" s="26">
        <v>20</v>
      </c>
      <c r="I260" s="26">
        <v>21</v>
      </c>
      <c r="J260" s="26">
        <v>33</v>
      </c>
      <c r="K260" s="26">
        <v>41</v>
      </c>
      <c r="L260" s="26">
        <v>26</v>
      </c>
      <c r="M260" s="26">
        <v>7</v>
      </c>
      <c r="N260" s="18" t="s">
        <v>32</v>
      </c>
    </row>
    <row r="261" spans="1:14" x14ac:dyDescent="0.25">
      <c r="A261" s="18">
        <f t="shared" si="19"/>
        <v>572</v>
      </c>
      <c r="B261" s="24" t="s">
        <v>291</v>
      </c>
      <c r="C261" s="25">
        <v>42546</v>
      </c>
      <c r="D261" s="18" t="str">
        <f t="shared" si="17"/>
        <v>S</v>
      </c>
      <c r="E261" s="19">
        <f t="shared" si="18"/>
        <v>25</v>
      </c>
      <c r="F261" s="26">
        <v>6</v>
      </c>
      <c r="G261" s="26">
        <v>19</v>
      </c>
      <c r="H261" s="26">
        <v>21</v>
      </c>
      <c r="I261" s="26">
        <v>22</v>
      </c>
      <c r="J261" s="26">
        <v>34</v>
      </c>
      <c r="K261" s="26">
        <v>37</v>
      </c>
      <c r="L261" s="26">
        <v>16</v>
      </c>
      <c r="M261" s="26">
        <v>3</v>
      </c>
      <c r="N261" s="18" t="s">
        <v>32</v>
      </c>
    </row>
    <row r="262" spans="1:14" x14ac:dyDescent="0.25">
      <c r="A262" s="18">
        <f t="shared" si="19"/>
        <v>573</v>
      </c>
      <c r="B262" s="24" t="s">
        <v>292</v>
      </c>
      <c r="C262" s="25">
        <v>42551</v>
      </c>
      <c r="D262" s="18" t="str">
        <f t="shared" si="17"/>
        <v>J</v>
      </c>
      <c r="E262" s="19">
        <f t="shared" si="18"/>
        <v>26</v>
      </c>
      <c r="F262" s="26">
        <v>1</v>
      </c>
      <c r="G262" s="26">
        <v>6</v>
      </c>
      <c r="H262" s="26">
        <v>30</v>
      </c>
      <c r="I262" s="26">
        <v>31</v>
      </c>
      <c r="J262" s="26">
        <v>41</v>
      </c>
      <c r="K262" s="26">
        <v>43</v>
      </c>
      <c r="L262" s="26">
        <v>33</v>
      </c>
      <c r="M262" s="26">
        <v>3</v>
      </c>
      <c r="N262" s="18" t="s">
        <v>32</v>
      </c>
    </row>
    <row r="263" spans="1:14" x14ac:dyDescent="0.25">
      <c r="A263" s="18">
        <f t="shared" si="19"/>
        <v>574</v>
      </c>
      <c r="B263" s="24" t="s">
        <v>293</v>
      </c>
      <c r="C263" s="25">
        <v>42553</v>
      </c>
      <c r="D263" s="18" t="str">
        <f t="shared" si="17"/>
        <v>S</v>
      </c>
      <c r="E263" s="19">
        <f t="shared" si="18"/>
        <v>26</v>
      </c>
      <c r="F263" s="26">
        <v>4</v>
      </c>
      <c r="G263" s="26">
        <v>14</v>
      </c>
      <c r="H263" s="26">
        <v>15</v>
      </c>
      <c r="I263" s="26">
        <v>16</v>
      </c>
      <c r="J263" s="26">
        <v>18</v>
      </c>
      <c r="K263" s="26">
        <v>40</v>
      </c>
      <c r="L263" s="26">
        <v>30</v>
      </c>
      <c r="M263" s="26">
        <v>7</v>
      </c>
      <c r="N263" s="18" t="s">
        <v>32</v>
      </c>
    </row>
    <row r="264" spans="1:14" x14ac:dyDescent="0.25">
      <c r="A264" s="18">
        <f t="shared" si="19"/>
        <v>575</v>
      </c>
      <c r="B264" s="24" t="s">
        <v>294</v>
      </c>
      <c r="C264" s="25">
        <v>42558</v>
      </c>
      <c r="D264" s="18" t="str">
        <f t="shared" si="17"/>
        <v>J</v>
      </c>
      <c r="E264" s="19">
        <f t="shared" si="18"/>
        <v>27</v>
      </c>
      <c r="F264" s="26">
        <v>20</v>
      </c>
      <c r="G264" s="26">
        <v>7</v>
      </c>
      <c r="H264" s="26">
        <v>23</v>
      </c>
      <c r="I264" s="26">
        <v>34</v>
      </c>
      <c r="J264" s="26">
        <v>29</v>
      </c>
      <c r="K264" s="26">
        <v>15</v>
      </c>
      <c r="L264" s="26">
        <v>4</v>
      </c>
      <c r="M264" s="26">
        <v>8</v>
      </c>
      <c r="N264" s="18" t="s">
        <v>32</v>
      </c>
    </row>
    <row r="265" spans="1:14" x14ac:dyDescent="0.25">
      <c r="A265" s="18">
        <f t="shared" si="19"/>
        <v>576</v>
      </c>
      <c r="B265" s="24" t="s">
        <v>295</v>
      </c>
      <c r="C265" s="25">
        <v>42560</v>
      </c>
      <c r="D265" s="18" t="str">
        <f t="shared" si="17"/>
        <v>S</v>
      </c>
      <c r="E265" s="19">
        <f t="shared" si="18"/>
        <v>27</v>
      </c>
      <c r="F265" s="26">
        <v>4</v>
      </c>
      <c r="G265" s="26">
        <v>5</v>
      </c>
      <c r="H265" s="26">
        <v>37</v>
      </c>
      <c r="I265" s="26">
        <v>40</v>
      </c>
      <c r="J265" s="26">
        <v>41</v>
      </c>
      <c r="K265" s="26">
        <v>45</v>
      </c>
      <c r="L265" s="26">
        <v>13</v>
      </c>
      <c r="M265" s="26">
        <v>6</v>
      </c>
      <c r="N265" s="18" t="s">
        <v>32</v>
      </c>
    </row>
    <row r="266" spans="1:14" x14ac:dyDescent="0.25">
      <c r="A266" s="18">
        <f t="shared" si="19"/>
        <v>577</v>
      </c>
      <c r="B266" s="24" t="s">
        <v>296</v>
      </c>
      <c r="C266" s="25">
        <v>42565</v>
      </c>
      <c r="D266" s="18" t="str">
        <f t="shared" si="17"/>
        <v>J</v>
      </c>
      <c r="E266" s="19">
        <f t="shared" si="18"/>
        <v>28</v>
      </c>
      <c r="F266" s="26">
        <v>10</v>
      </c>
      <c r="G266" s="26">
        <v>41</v>
      </c>
      <c r="H266" s="26">
        <v>17</v>
      </c>
      <c r="I266" s="26">
        <v>36</v>
      </c>
      <c r="J266" s="26">
        <v>26</v>
      </c>
      <c r="K266" s="26">
        <v>3</v>
      </c>
      <c r="L266" s="26">
        <v>11</v>
      </c>
      <c r="M266" s="26">
        <v>8</v>
      </c>
      <c r="N266" s="18" t="s">
        <v>32</v>
      </c>
    </row>
    <row r="267" spans="1:14" x14ac:dyDescent="0.25">
      <c r="A267" s="18">
        <f t="shared" si="19"/>
        <v>578</v>
      </c>
      <c r="B267" s="24" t="s">
        <v>297</v>
      </c>
      <c r="C267" s="25">
        <v>42567</v>
      </c>
      <c r="D267" s="18" t="str">
        <f t="shared" si="17"/>
        <v>S</v>
      </c>
      <c r="E267" s="19">
        <f t="shared" si="18"/>
        <v>28</v>
      </c>
      <c r="F267" s="26">
        <v>12</v>
      </c>
      <c r="G267" s="26">
        <v>16</v>
      </c>
      <c r="H267" s="26">
        <v>28</v>
      </c>
      <c r="I267" s="26">
        <v>32</v>
      </c>
      <c r="J267" s="26">
        <v>43</v>
      </c>
      <c r="K267" s="26">
        <v>45</v>
      </c>
      <c r="L267" s="26">
        <v>19</v>
      </c>
      <c r="M267" s="26">
        <v>2</v>
      </c>
      <c r="N267" s="18" t="s">
        <v>32</v>
      </c>
    </row>
    <row r="268" spans="1:14" x14ac:dyDescent="0.25">
      <c r="A268" s="18">
        <f t="shared" si="19"/>
        <v>579</v>
      </c>
      <c r="B268" s="24" t="s">
        <v>298</v>
      </c>
      <c r="C268" s="25">
        <v>42572</v>
      </c>
      <c r="D268" s="18" t="str">
        <f t="shared" si="17"/>
        <v>J</v>
      </c>
      <c r="E268" s="19">
        <f t="shared" si="18"/>
        <v>29</v>
      </c>
      <c r="F268" s="26">
        <v>22</v>
      </c>
      <c r="G268" s="26">
        <v>36</v>
      </c>
      <c r="H268" s="26">
        <v>47</v>
      </c>
      <c r="I268" s="26">
        <v>42</v>
      </c>
      <c r="J268" s="26">
        <v>5</v>
      </c>
      <c r="K268" s="26">
        <v>4</v>
      </c>
      <c r="L268" s="26">
        <v>6</v>
      </c>
      <c r="M268" s="26">
        <v>4</v>
      </c>
      <c r="N268" s="18" t="s">
        <v>32</v>
      </c>
    </row>
    <row r="269" spans="1:14" x14ac:dyDescent="0.25">
      <c r="A269" s="18">
        <f t="shared" si="19"/>
        <v>580</v>
      </c>
      <c r="B269" s="24" t="s">
        <v>299</v>
      </c>
      <c r="C269" s="25">
        <v>42574</v>
      </c>
      <c r="D269" s="18" t="str">
        <f t="shared" si="17"/>
        <v>S</v>
      </c>
      <c r="E269" s="19">
        <f t="shared" si="18"/>
        <v>29</v>
      </c>
      <c r="F269" s="26">
        <v>6</v>
      </c>
      <c r="G269" s="26">
        <v>11</v>
      </c>
      <c r="H269" s="26">
        <v>12</v>
      </c>
      <c r="I269" s="26">
        <v>25</v>
      </c>
      <c r="J269" s="26">
        <v>36</v>
      </c>
      <c r="K269" s="26">
        <v>46</v>
      </c>
      <c r="L269" s="26">
        <v>20</v>
      </c>
      <c r="M269" s="26">
        <v>2</v>
      </c>
      <c r="N269" s="18" t="s">
        <v>32</v>
      </c>
    </row>
    <row r="270" spans="1:14" x14ac:dyDescent="0.25">
      <c r="A270" s="18">
        <f t="shared" si="19"/>
        <v>581</v>
      </c>
      <c r="B270" s="24" t="s">
        <v>300</v>
      </c>
      <c r="C270" s="25">
        <v>42579</v>
      </c>
      <c r="D270" s="18" t="str">
        <f t="shared" si="17"/>
        <v>J</v>
      </c>
      <c r="E270" s="19">
        <f t="shared" si="18"/>
        <v>30</v>
      </c>
      <c r="F270" s="26">
        <v>2</v>
      </c>
      <c r="G270" s="26">
        <v>20</v>
      </c>
      <c r="H270" s="26">
        <v>10</v>
      </c>
      <c r="I270" s="26">
        <v>40</v>
      </c>
      <c r="J270" s="26">
        <v>6</v>
      </c>
      <c r="K270" s="26">
        <v>38</v>
      </c>
      <c r="L270" s="26">
        <v>45</v>
      </c>
      <c r="M270" s="26">
        <v>3</v>
      </c>
      <c r="N270" s="18" t="s">
        <v>32</v>
      </c>
    </row>
    <row r="271" spans="1:14" x14ac:dyDescent="0.25">
      <c r="A271" s="18">
        <f t="shared" si="19"/>
        <v>582</v>
      </c>
      <c r="B271" s="24" t="s">
        <v>301</v>
      </c>
      <c r="C271" s="25">
        <v>42581</v>
      </c>
      <c r="D271" s="18" t="str">
        <f t="shared" si="17"/>
        <v>S</v>
      </c>
      <c r="E271" s="19">
        <f t="shared" si="18"/>
        <v>30</v>
      </c>
      <c r="F271" s="26">
        <v>34</v>
      </c>
      <c r="G271" s="26">
        <v>28</v>
      </c>
      <c r="H271" s="26">
        <v>30</v>
      </c>
      <c r="I271" s="26">
        <v>11</v>
      </c>
      <c r="J271" s="26">
        <v>32</v>
      </c>
      <c r="K271" s="26">
        <v>24</v>
      </c>
      <c r="L271" s="26">
        <v>25</v>
      </c>
      <c r="M271" s="26">
        <v>5</v>
      </c>
      <c r="N271" s="18" t="s">
        <v>32</v>
      </c>
    </row>
    <row r="272" spans="1:14" x14ac:dyDescent="0.25">
      <c r="A272" s="18">
        <f t="shared" si="19"/>
        <v>583</v>
      </c>
      <c r="B272" s="24" t="s">
        <v>302</v>
      </c>
      <c r="C272" s="92">
        <v>42586</v>
      </c>
      <c r="D272" s="18" t="str">
        <f t="shared" si="17"/>
        <v>J</v>
      </c>
      <c r="E272" s="19">
        <f t="shared" si="18"/>
        <v>31</v>
      </c>
      <c r="F272" s="26">
        <v>5</v>
      </c>
      <c r="G272" s="26">
        <v>8</v>
      </c>
      <c r="H272" s="26">
        <v>12</v>
      </c>
      <c r="I272" s="26">
        <v>14</v>
      </c>
      <c r="J272" s="26">
        <v>21</v>
      </c>
      <c r="K272" s="26">
        <v>28</v>
      </c>
      <c r="L272" s="26">
        <v>27</v>
      </c>
      <c r="M272" s="26">
        <v>6</v>
      </c>
      <c r="N272" s="18" t="s">
        <v>32</v>
      </c>
    </row>
    <row r="273" spans="1:14" x14ac:dyDescent="0.25">
      <c r="A273" s="18">
        <f t="shared" si="19"/>
        <v>584</v>
      </c>
      <c r="B273" s="24" t="s">
        <v>303</v>
      </c>
      <c r="C273" s="25">
        <v>42588</v>
      </c>
      <c r="D273" s="18" t="str">
        <f t="shared" si="17"/>
        <v>S</v>
      </c>
      <c r="E273" s="19">
        <f t="shared" si="18"/>
        <v>31</v>
      </c>
      <c r="F273" s="26">
        <v>12</v>
      </c>
      <c r="G273" s="26">
        <v>17</v>
      </c>
      <c r="H273" s="26">
        <v>30</v>
      </c>
      <c r="I273" s="26">
        <v>39</v>
      </c>
      <c r="J273" s="26">
        <v>43</v>
      </c>
      <c r="K273" s="26">
        <v>47</v>
      </c>
      <c r="L273" s="26">
        <v>32</v>
      </c>
      <c r="M273" s="26">
        <v>2</v>
      </c>
      <c r="N273" s="18" t="s">
        <v>32</v>
      </c>
    </row>
    <row r="274" spans="1:14" x14ac:dyDescent="0.25">
      <c r="A274" s="18">
        <f t="shared" si="19"/>
        <v>585</v>
      </c>
      <c r="B274" s="24" t="s">
        <v>304</v>
      </c>
      <c r="C274" s="25">
        <v>42593</v>
      </c>
      <c r="D274" s="18" t="str">
        <f t="shared" si="17"/>
        <v>J</v>
      </c>
      <c r="E274" s="19">
        <f t="shared" si="18"/>
        <v>32</v>
      </c>
      <c r="F274" s="18">
        <v>11</v>
      </c>
      <c r="G274" s="18">
        <v>13</v>
      </c>
      <c r="H274" s="18">
        <v>20</v>
      </c>
      <c r="I274" s="18">
        <v>31</v>
      </c>
      <c r="J274" s="18">
        <v>34</v>
      </c>
      <c r="K274" s="18">
        <v>40</v>
      </c>
      <c r="L274" s="18">
        <v>24</v>
      </c>
      <c r="M274" s="18">
        <v>8</v>
      </c>
      <c r="N274" s="18" t="s">
        <v>32</v>
      </c>
    </row>
    <row r="275" spans="1:14" x14ac:dyDescent="0.25">
      <c r="A275" s="18">
        <f t="shared" si="19"/>
        <v>586</v>
      </c>
      <c r="B275" s="24" t="s">
        <v>305</v>
      </c>
      <c r="C275" s="25">
        <v>42595</v>
      </c>
      <c r="D275" s="18" t="str">
        <f t="shared" si="17"/>
        <v>S</v>
      </c>
      <c r="E275" s="19">
        <f t="shared" si="18"/>
        <v>32</v>
      </c>
      <c r="F275" s="18">
        <v>40</v>
      </c>
      <c r="G275" s="18">
        <v>24</v>
      </c>
      <c r="H275" s="18">
        <v>33</v>
      </c>
      <c r="I275" s="18">
        <v>45</v>
      </c>
      <c r="J275" s="18">
        <v>10</v>
      </c>
      <c r="K275" s="18">
        <v>13</v>
      </c>
      <c r="L275" s="18">
        <v>32</v>
      </c>
      <c r="M275" s="18">
        <v>3</v>
      </c>
      <c r="N275" s="18" t="s">
        <v>32</v>
      </c>
    </row>
    <row r="276" spans="1:14" x14ac:dyDescent="0.25">
      <c r="A276" s="18">
        <f t="shared" si="19"/>
        <v>587</v>
      </c>
      <c r="B276" s="24" t="s">
        <v>306</v>
      </c>
      <c r="C276" s="25">
        <v>42600</v>
      </c>
      <c r="D276" s="18" t="str">
        <f t="shared" si="17"/>
        <v>J</v>
      </c>
      <c r="E276" s="19">
        <f t="shared" si="18"/>
        <v>33</v>
      </c>
      <c r="F276" s="18">
        <v>33</v>
      </c>
      <c r="G276" s="18">
        <v>39</v>
      </c>
      <c r="H276" s="18">
        <v>37</v>
      </c>
      <c r="I276" s="18">
        <v>9</v>
      </c>
      <c r="J276" s="18">
        <v>14</v>
      </c>
      <c r="K276" s="18">
        <v>22</v>
      </c>
      <c r="L276" s="18">
        <v>46</v>
      </c>
      <c r="M276" s="18">
        <v>3</v>
      </c>
      <c r="N276" s="18" t="s">
        <v>32</v>
      </c>
    </row>
    <row r="277" spans="1:14" x14ac:dyDescent="0.25">
      <c r="A277" s="18">
        <f t="shared" si="19"/>
        <v>588</v>
      </c>
      <c r="B277" s="24" t="s">
        <v>307</v>
      </c>
      <c r="C277" s="25">
        <v>42602</v>
      </c>
      <c r="D277" s="18" t="str">
        <f t="shared" si="17"/>
        <v>S</v>
      </c>
      <c r="E277" s="19">
        <f t="shared" si="18"/>
        <v>33</v>
      </c>
      <c r="F277" s="18">
        <v>26</v>
      </c>
      <c r="G277" s="18">
        <v>34</v>
      </c>
      <c r="H277" s="18">
        <v>17</v>
      </c>
      <c r="I277" s="18">
        <v>2</v>
      </c>
      <c r="J277" s="18">
        <v>11</v>
      </c>
      <c r="K277" s="18">
        <v>40</v>
      </c>
      <c r="L277" s="18">
        <v>22</v>
      </c>
      <c r="M277" s="18">
        <v>0</v>
      </c>
      <c r="N277" s="18" t="s">
        <v>32</v>
      </c>
    </row>
    <row r="278" spans="1:14" x14ac:dyDescent="0.25">
      <c r="A278" s="18">
        <f t="shared" si="19"/>
        <v>589</v>
      </c>
      <c r="B278" s="24" t="s">
        <v>308</v>
      </c>
      <c r="C278" s="25">
        <v>42607</v>
      </c>
      <c r="D278" s="18" t="str">
        <f t="shared" si="17"/>
        <v>J</v>
      </c>
      <c r="E278" s="19">
        <f t="shared" si="18"/>
        <v>34</v>
      </c>
      <c r="F278" s="18">
        <v>26</v>
      </c>
      <c r="G278" s="18">
        <v>7</v>
      </c>
      <c r="H278" s="18">
        <v>35</v>
      </c>
      <c r="I278" s="18">
        <v>10</v>
      </c>
      <c r="J278" s="18">
        <v>40</v>
      </c>
      <c r="K278" s="18">
        <v>16</v>
      </c>
      <c r="L278" s="18">
        <v>49</v>
      </c>
      <c r="M278" s="18">
        <v>8</v>
      </c>
      <c r="N278" s="18" t="s">
        <v>32</v>
      </c>
    </row>
    <row r="279" spans="1:14" x14ac:dyDescent="0.25">
      <c r="A279" s="18">
        <f t="shared" si="19"/>
        <v>590</v>
      </c>
      <c r="B279" s="24" t="s">
        <v>309</v>
      </c>
      <c r="C279" s="25">
        <v>42609</v>
      </c>
      <c r="D279" s="18" t="str">
        <f t="shared" si="17"/>
        <v>S</v>
      </c>
      <c r="E279" s="19">
        <f t="shared" si="18"/>
        <v>34</v>
      </c>
      <c r="F279" s="18">
        <v>6</v>
      </c>
      <c r="G279" s="18">
        <v>9</v>
      </c>
      <c r="H279" s="18">
        <v>14</v>
      </c>
      <c r="I279" s="18">
        <v>32</v>
      </c>
      <c r="J279" s="18">
        <v>36</v>
      </c>
      <c r="K279" s="18">
        <v>45</v>
      </c>
      <c r="L279" s="18">
        <v>10</v>
      </c>
      <c r="M279" s="18">
        <v>4</v>
      </c>
      <c r="N279" s="18" t="s">
        <v>32</v>
      </c>
    </row>
    <row r="280" spans="1:14" x14ac:dyDescent="0.25">
      <c r="A280" s="18">
        <f t="shared" si="19"/>
        <v>591</v>
      </c>
      <c r="B280" s="24" t="s">
        <v>310</v>
      </c>
      <c r="C280" s="92">
        <v>42614</v>
      </c>
      <c r="D280" s="19" t="str">
        <f t="shared" si="17"/>
        <v>J</v>
      </c>
      <c r="E280" s="19">
        <f t="shared" si="18"/>
        <v>35</v>
      </c>
      <c r="F280" s="18">
        <v>17</v>
      </c>
      <c r="G280" s="18">
        <v>19</v>
      </c>
      <c r="H280" s="18">
        <v>21</v>
      </c>
      <c r="I280" s="18">
        <v>31</v>
      </c>
      <c r="J280" s="18">
        <v>35</v>
      </c>
      <c r="K280" s="18">
        <v>48</v>
      </c>
      <c r="L280" s="18">
        <v>4</v>
      </c>
      <c r="M280" s="18">
        <v>7</v>
      </c>
      <c r="N280" s="18" t="s">
        <v>32</v>
      </c>
    </row>
    <row r="281" spans="1:14" x14ac:dyDescent="0.25">
      <c r="A281" s="18">
        <f t="shared" si="19"/>
        <v>592</v>
      </c>
      <c r="B281" s="24" t="s">
        <v>311</v>
      </c>
      <c r="C281" s="92">
        <v>42616</v>
      </c>
      <c r="D281" s="19" t="str">
        <f t="shared" si="17"/>
        <v>S</v>
      </c>
      <c r="E281" s="19">
        <f t="shared" si="18"/>
        <v>35</v>
      </c>
      <c r="F281" s="18">
        <v>4</v>
      </c>
      <c r="G281" s="18">
        <v>14</v>
      </c>
      <c r="H281" s="18">
        <v>30</v>
      </c>
      <c r="I281" s="18">
        <v>31</v>
      </c>
      <c r="J281" s="18">
        <v>34</v>
      </c>
      <c r="K281" s="18">
        <v>44</v>
      </c>
      <c r="L281" s="18">
        <v>20</v>
      </c>
      <c r="M281" s="18">
        <v>5</v>
      </c>
      <c r="N281" s="18" t="s">
        <v>32</v>
      </c>
    </row>
    <row r="282" spans="1:14" x14ac:dyDescent="0.25">
      <c r="A282" s="18">
        <f t="shared" si="19"/>
        <v>593</v>
      </c>
      <c r="B282" s="24" t="s">
        <v>312</v>
      </c>
      <c r="C282" s="92">
        <v>42621</v>
      </c>
      <c r="D282" s="19" t="str">
        <f t="shared" ref="D282:D345" si="20">CHOOSE(WEEKDAY(C282),"D","L","M","X","J","V","S")</f>
        <v>J</v>
      </c>
      <c r="E282" s="19">
        <f t="shared" ref="E282:E345" si="21">WEEKNUM(C282,21)</f>
        <v>36</v>
      </c>
      <c r="F282" s="18">
        <v>4</v>
      </c>
      <c r="G282" s="18">
        <v>5</v>
      </c>
      <c r="H282" s="18">
        <v>7</v>
      </c>
      <c r="I282" s="18">
        <v>29</v>
      </c>
      <c r="J282" s="18">
        <v>42</v>
      </c>
      <c r="K282" s="18">
        <v>46</v>
      </c>
      <c r="L282" s="18">
        <v>43</v>
      </c>
      <c r="M282" s="18">
        <v>7</v>
      </c>
      <c r="N282" s="18" t="s">
        <v>32</v>
      </c>
    </row>
    <row r="283" spans="1:14" x14ac:dyDescent="0.25">
      <c r="A283" s="18">
        <f t="shared" si="19"/>
        <v>594</v>
      </c>
      <c r="B283" s="24" t="s">
        <v>313</v>
      </c>
      <c r="C283" s="92">
        <v>42623</v>
      </c>
      <c r="D283" s="19" t="str">
        <f t="shared" si="20"/>
        <v>S</v>
      </c>
      <c r="E283" s="19">
        <f t="shared" si="21"/>
        <v>36</v>
      </c>
      <c r="F283" s="18">
        <v>24</v>
      </c>
      <c r="G283" s="18">
        <v>44</v>
      </c>
      <c r="H283" s="18">
        <v>38</v>
      </c>
      <c r="I283" s="18">
        <v>34</v>
      </c>
      <c r="J283" s="18">
        <v>39</v>
      </c>
      <c r="K283" s="18">
        <v>28</v>
      </c>
      <c r="L283" s="18">
        <v>6</v>
      </c>
      <c r="M283" s="18">
        <v>2</v>
      </c>
      <c r="N283" s="18" t="s">
        <v>32</v>
      </c>
    </row>
    <row r="284" spans="1:14" x14ac:dyDescent="0.25">
      <c r="A284" s="18">
        <f t="shared" si="19"/>
        <v>595</v>
      </c>
      <c r="B284" s="24" t="s">
        <v>314</v>
      </c>
      <c r="C284" s="92">
        <v>42628</v>
      </c>
      <c r="D284" s="19" t="str">
        <f t="shared" si="20"/>
        <v>J</v>
      </c>
      <c r="E284" s="19">
        <f t="shared" si="21"/>
        <v>37</v>
      </c>
      <c r="F284" s="18">
        <v>40</v>
      </c>
      <c r="G284" s="18">
        <v>14</v>
      </c>
      <c r="H284" s="18">
        <v>24</v>
      </c>
      <c r="I284" s="18">
        <v>7</v>
      </c>
      <c r="J284" s="18">
        <v>35</v>
      </c>
      <c r="K284" s="18">
        <v>34</v>
      </c>
      <c r="L284" s="18">
        <v>25</v>
      </c>
      <c r="M284" s="18">
        <v>3</v>
      </c>
      <c r="N284" s="18" t="s">
        <v>32</v>
      </c>
    </row>
    <row r="285" spans="1:14" x14ac:dyDescent="0.25">
      <c r="A285" s="18">
        <f t="shared" si="19"/>
        <v>596</v>
      </c>
      <c r="B285" s="24" t="s">
        <v>315</v>
      </c>
      <c r="C285" s="92">
        <v>42630</v>
      </c>
      <c r="D285" s="19" t="str">
        <f t="shared" si="20"/>
        <v>S</v>
      </c>
      <c r="E285" s="19">
        <f t="shared" si="21"/>
        <v>37</v>
      </c>
      <c r="F285" s="18">
        <v>20</v>
      </c>
      <c r="G285" s="18">
        <v>14</v>
      </c>
      <c r="H285" s="18">
        <v>32</v>
      </c>
      <c r="I285" s="18">
        <v>22</v>
      </c>
      <c r="J285" s="18">
        <v>8</v>
      </c>
      <c r="K285" s="18">
        <v>28</v>
      </c>
      <c r="L285" s="18">
        <v>45</v>
      </c>
      <c r="M285" s="18">
        <v>2</v>
      </c>
      <c r="N285" s="18" t="s">
        <v>32</v>
      </c>
    </row>
    <row r="286" spans="1:14" x14ac:dyDescent="0.25">
      <c r="A286" s="18">
        <f t="shared" si="19"/>
        <v>597</v>
      </c>
      <c r="B286" s="24" t="s">
        <v>316</v>
      </c>
      <c r="C286" s="92">
        <v>42635</v>
      </c>
      <c r="D286" s="19" t="str">
        <f t="shared" si="20"/>
        <v>J</v>
      </c>
      <c r="E286" s="19">
        <f t="shared" si="21"/>
        <v>38</v>
      </c>
      <c r="F286" s="18">
        <v>49</v>
      </c>
      <c r="G286" s="18">
        <v>42</v>
      </c>
      <c r="H286" s="18">
        <v>9</v>
      </c>
      <c r="I286" s="18">
        <v>43</v>
      </c>
      <c r="J286" s="18">
        <v>15</v>
      </c>
      <c r="K286" s="18">
        <v>18</v>
      </c>
      <c r="L286" s="18">
        <v>41</v>
      </c>
      <c r="M286" s="18">
        <v>6</v>
      </c>
      <c r="N286" s="18" t="s">
        <v>32</v>
      </c>
    </row>
    <row r="287" spans="1:14" x14ac:dyDescent="0.25">
      <c r="A287" s="18">
        <f t="shared" si="19"/>
        <v>598</v>
      </c>
      <c r="B287" s="24" t="s">
        <v>317</v>
      </c>
      <c r="C287" s="92">
        <v>42637</v>
      </c>
      <c r="D287" s="19" t="str">
        <f t="shared" si="20"/>
        <v>S</v>
      </c>
      <c r="E287" s="19">
        <f t="shared" si="21"/>
        <v>38</v>
      </c>
      <c r="F287" s="18">
        <v>45</v>
      </c>
      <c r="G287" s="18">
        <v>42</v>
      </c>
      <c r="H287" s="18">
        <v>4</v>
      </c>
      <c r="I287" s="18">
        <v>9</v>
      </c>
      <c r="J287" s="18">
        <v>48</v>
      </c>
      <c r="K287" s="18">
        <v>21</v>
      </c>
      <c r="L287" s="18">
        <v>27</v>
      </c>
      <c r="M287" s="18">
        <v>8</v>
      </c>
      <c r="N287" s="18" t="s">
        <v>32</v>
      </c>
    </row>
    <row r="288" spans="1:14" x14ac:dyDescent="0.25">
      <c r="A288" s="18">
        <f t="shared" si="19"/>
        <v>599</v>
      </c>
      <c r="B288" s="24" t="s">
        <v>318</v>
      </c>
      <c r="C288" s="92">
        <v>42642</v>
      </c>
      <c r="D288" s="19" t="str">
        <f t="shared" si="20"/>
        <v>J</v>
      </c>
      <c r="E288" s="19">
        <f t="shared" si="21"/>
        <v>39</v>
      </c>
      <c r="F288" s="18">
        <v>42</v>
      </c>
      <c r="G288" s="18">
        <v>14</v>
      </c>
      <c r="H288" s="18">
        <v>8</v>
      </c>
      <c r="I288" s="18">
        <v>28</v>
      </c>
      <c r="J288" s="18">
        <v>40</v>
      </c>
      <c r="K288" s="18">
        <v>39</v>
      </c>
      <c r="L288" s="18">
        <v>49</v>
      </c>
      <c r="M288" s="18">
        <v>2</v>
      </c>
      <c r="N288" s="18" t="s">
        <v>32</v>
      </c>
    </row>
    <row r="289" spans="1:14" x14ac:dyDescent="0.25">
      <c r="A289" s="18">
        <f t="shared" si="19"/>
        <v>600</v>
      </c>
      <c r="B289" s="24" t="s">
        <v>319</v>
      </c>
      <c r="C289" s="92">
        <v>42644</v>
      </c>
      <c r="D289" s="19" t="str">
        <f t="shared" si="20"/>
        <v>S</v>
      </c>
      <c r="E289" s="19">
        <f t="shared" si="21"/>
        <v>39</v>
      </c>
      <c r="F289" s="18">
        <v>16</v>
      </c>
      <c r="G289" s="18">
        <v>42</v>
      </c>
      <c r="H289" s="18">
        <v>20</v>
      </c>
      <c r="I289" s="18">
        <v>2</v>
      </c>
      <c r="J289" s="18">
        <v>35</v>
      </c>
      <c r="K289" s="18">
        <v>7</v>
      </c>
      <c r="L289" s="18">
        <v>10</v>
      </c>
      <c r="M289" s="18">
        <v>6</v>
      </c>
      <c r="N289" s="18" t="s">
        <v>32</v>
      </c>
    </row>
    <row r="290" spans="1:14" x14ac:dyDescent="0.25">
      <c r="A290" s="18">
        <f t="shared" si="19"/>
        <v>601</v>
      </c>
      <c r="B290" s="24" t="s">
        <v>320</v>
      </c>
      <c r="C290" s="92">
        <v>42649</v>
      </c>
      <c r="D290" s="19" t="str">
        <f t="shared" si="20"/>
        <v>J</v>
      </c>
      <c r="E290" s="19">
        <f t="shared" si="21"/>
        <v>40</v>
      </c>
      <c r="F290" s="18">
        <v>30</v>
      </c>
      <c r="G290" s="18">
        <v>41</v>
      </c>
      <c r="H290" s="18">
        <v>26</v>
      </c>
      <c r="I290" s="18">
        <v>19</v>
      </c>
      <c r="J290" s="18">
        <v>3</v>
      </c>
      <c r="K290" s="18">
        <v>23</v>
      </c>
      <c r="L290" s="18">
        <v>13</v>
      </c>
      <c r="M290" s="18">
        <v>4</v>
      </c>
      <c r="N290" s="18" t="s">
        <v>32</v>
      </c>
    </row>
    <row r="291" spans="1:14" x14ac:dyDescent="0.25">
      <c r="A291" s="18">
        <f t="shared" si="19"/>
        <v>602</v>
      </c>
      <c r="B291" s="24" t="s">
        <v>321</v>
      </c>
      <c r="C291" s="92">
        <v>42651</v>
      </c>
      <c r="D291" s="19" t="str">
        <f t="shared" si="20"/>
        <v>S</v>
      </c>
      <c r="E291" s="19">
        <f t="shared" si="21"/>
        <v>40</v>
      </c>
      <c r="F291" s="18">
        <v>4</v>
      </c>
      <c r="G291" s="18">
        <v>9</v>
      </c>
      <c r="H291" s="18">
        <v>20</v>
      </c>
      <c r="I291" s="18">
        <v>29</v>
      </c>
      <c r="J291" s="18">
        <v>41</v>
      </c>
      <c r="K291" s="18">
        <v>49</v>
      </c>
      <c r="L291" s="18">
        <v>24</v>
      </c>
      <c r="M291" s="18">
        <v>2</v>
      </c>
      <c r="N291" s="18" t="s">
        <v>32</v>
      </c>
    </row>
    <row r="292" spans="1:14" x14ac:dyDescent="0.25">
      <c r="A292" s="18">
        <f t="shared" si="19"/>
        <v>603</v>
      </c>
      <c r="B292" s="24" t="s">
        <v>322</v>
      </c>
      <c r="C292" s="92">
        <v>42656</v>
      </c>
      <c r="D292" s="19" t="str">
        <f t="shared" si="20"/>
        <v>J</v>
      </c>
      <c r="E292" s="19">
        <f t="shared" si="21"/>
        <v>41</v>
      </c>
      <c r="F292" s="18">
        <v>18</v>
      </c>
      <c r="G292" s="18">
        <v>1</v>
      </c>
      <c r="H292" s="18">
        <v>36</v>
      </c>
      <c r="I292" s="18">
        <v>21</v>
      </c>
      <c r="J292" s="18">
        <v>32</v>
      </c>
      <c r="K292" s="18">
        <v>5</v>
      </c>
      <c r="L292" s="18">
        <v>45</v>
      </c>
      <c r="M292" s="18">
        <v>8</v>
      </c>
      <c r="N292" s="18" t="s">
        <v>32</v>
      </c>
    </row>
    <row r="293" spans="1:14" x14ac:dyDescent="0.25">
      <c r="A293" s="18">
        <f t="shared" si="19"/>
        <v>604</v>
      </c>
      <c r="B293" s="24" t="s">
        <v>323</v>
      </c>
      <c r="C293" s="92">
        <v>42658</v>
      </c>
      <c r="D293" s="19" t="str">
        <f t="shared" si="20"/>
        <v>S</v>
      </c>
      <c r="E293" s="19">
        <f t="shared" si="21"/>
        <v>41</v>
      </c>
      <c r="F293" s="18">
        <v>49</v>
      </c>
      <c r="G293" s="18">
        <v>27</v>
      </c>
      <c r="H293" s="18">
        <v>43</v>
      </c>
      <c r="I293" s="18">
        <v>1</v>
      </c>
      <c r="J293" s="18">
        <v>22</v>
      </c>
      <c r="K293" s="18">
        <v>42</v>
      </c>
      <c r="L293" s="18">
        <v>8</v>
      </c>
      <c r="M293" s="18">
        <v>2</v>
      </c>
      <c r="N293" s="18" t="s">
        <v>32</v>
      </c>
    </row>
    <row r="294" spans="1:14" x14ac:dyDescent="0.25">
      <c r="A294" s="18">
        <f t="shared" si="19"/>
        <v>605</v>
      </c>
      <c r="B294" s="24" t="s">
        <v>324</v>
      </c>
      <c r="C294" s="92">
        <v>42663</v>
      </c>
      <c r="D294" s="19" t="str">
        <f t="shared" si="20"/>
        <v>J</v>
      </c>
      <c r="E294" s="19">
        <f t="shared" si="21"/>
        <v>42</v>
      </c>
      <c r="F294" s="18">
        <v>21</v>
      </c>
      <c r="G294" s="18">
        <v>18</v>
      </c>
      <c r="H294" s="18">
        <v>5</v>
      </c>
      <c r="I294" s="18">
        <v>7</v>
      </c>
      <c r="J294" s="18">
        <v>20</v>
      </c>
      <c r="K294" s="18">
        <v>15</v>
      </c>
      <c r="L294" s="18">
        <v>17</v>
      </c>
      <c r="M294" s="18">
        <v>8</v>
      </c>
      <c r="N294" s="18" t="s">
        <v>32</v>
      </c>
    </row>
    <row r="295" spans="1:14" x14ac:dyDescent="0.25">
      <c r="A295" s="18">
        <f t="shared" si="19"/>
        <v>606</v>
      </c>
      <c r="B295" s="24" t="s">
        <v>325</v>
      </c>
      <c r="C295" s="92">
        <v>42665</v>
      </c>
      <c r="D295" s="19" t="str">
        <f t="shared" si="20"/>
        <v>S</v>
      </c>
      <c r="E295" s="19">
        <f t="shared" si="21"/>
        <v>42</v>
      </c>
      <c r="F295" s="18">
        <v>31</v>
      </c>
      <c r="G295" s="18">
        <v>13</v>
      </c>
      <c r="H295" s="18">
        <v>15</v>
      </c>
      <c r="I295" s="18">
        <v>43</v>
      </c>
      <c r="J295" s="18">
        <v>12</v>
      </c>
      <c r="K295" s="18">
        <v>32</v>
      </c>
      <c r="L295" s="18">
        <v>6</v>
      </c>
      <c r="M295" s="18">
        <v>8</v>
      </c>
      <c r="N295" s="18" t="s">
        <v>32</v>
      </c>
    </row>
    <row r="296" spans="1:14" x14ac:dyDescent="0.25">
      <c r="A296" s="18">
        <f t="shared" si="19"/>
        <v>607</v>
      </c>
      <c r="B296" s="24" t="s">
        <v>326</v>
      </c>
      <c r="C296" s="92">
        <v>42670</v>
      </c>
      <c r="D296" s="19" t="str">
        <f t="shared" si="20"/>
        <v>J</v>
      </c>
      <c r="E296" s="19">
        <f t="shared" si="21"/>
        <v>43</v>
      </c>
      <c r="F296" s="18">
        <v>4</v>
      </c>
      <c r="G296" s="18">
        <v>23</v>
      </c>
      <c r="H296" s="18">
        <v>2</v>
      </c>
      <c r="I296" s="18">
        <v>22</v>
      </c>
      <c r="J296" s="18">
        <v>35</v>
      </c>
      <c r="K296" s="18">
        <v>32</v>
      </c>
      <c r="L296" s="18">
        <v>21</v>
      </c>
      <c r="M296" s="18">
        <v>8</v>
      </c>
      <c r="N296" s="18" t="s">
        <v>32</v>
      </c>
    </row>
    <row r="297" spans="1:14" x14ac:dyDescent="0.25">
      <c r="A297" s="18">
        <f t="shared" si="19"/>
        <v>608</v>
      </c>
      <c r="B297" s="24" t="s">
        <v>327</v>
      </c>
      <c r="C297" s="92">
        <v>42672</v>
      </c>
      <c r="D297" s="19" t="str">
        <f t="shared" si="20"/>
        <v>S</v>
      </c>
      <c r="E297" s="19">
        <f t="shared" si="21"/>
        <v>43</v>
      </c>
      <c r="F297" s="18">
        <v>38</v>
      </c>
      <c r="G297" s="18">
        <v>26</v>
      </c>
      <c r="H297" s="18">
        <v>4</v>
      </c>
      <c r="I297" s="18">
        <v>16</v>
      </c>
      <c r="J297" s="18">
        <v>14</v>
      </c>
      <c r="K297" s="18">
        <v>47</v>
      </c>
      <c r="L297" s="18">
        <v>22</v>
      </c>
      <c r="M297" s="18">
        <v>8</v>
      </c>
      <c r="N297" s="18" t="s">
        <v>32</v>
      </c>
    </row>
    <row r="298" spans="1:14" x14ac:dyDescent="0.25">
      <c r="A298" s="18">
        <f t="shared" si="19"/>
        <v>609</v>
      </c>
      <c r="B298" s="24" t="s">
        <v>328</v>
      </c>
      <c r="C298" s="92">
        <v>42677</v>
      </c>
      <c r="D298" s="19" t="str">
        <f t="shared" si="20"/>
        <v>J</v>
      </c>
      <c r="E298" s="19">
        <f t="shared" si="21"/>
        <v>44</v>
      </c>
      <c r="F298" s="18">
        <v>30</v>
      </c>
      <c r="G298" s="18">
        <v>29</v>
      </c>
      <c r="H298" s="18">
        <v>46</v>
      </c>
      <c r="I298" s="18">
        <v>21</v>
      </c>
      <c r="J298" s="18">
        <v>12</v>
      </c>
      <c r="K298" s="18">
        <v>44</v>
      </c>
      <c r="L298" s="18">
        <v>45</v>
      </c>
      <c r="M298" s="18">
        <v>2</v>
      </c>
      <c r="N298" s="18" t="s">
        <v>32</v>
      </c>
    </row>
    <row r="299" spans="1:14" x14ac:dyDescent="0.25">
      <c r="A299" s="18">
        <f t="shared" si="19"/>
        <v>610</v>
      </c>
      <c r="B299" s="24" t="s">
        <v>329</v>
      </c>
      <c r="C299" s="92">
        <v>42679</v>
      </c>
      <c r="D299" s="19" t="str">
        <f t="shared" si="20"/>
        <v>S</v>
      </c>
      <c r="E299" s="19">
        <f t="shared" si="21"/>
        <v>44</v>
      </c>
      <c r="F299" s="18">
        <v>14</v>
      </c>
      <c r="G299" s="18">
        <v>7</v>
      </c>
      <c r="H299" s="18">
        <v>49</v>
      </c>
      <c r="I299" s="18">
        <v>4</v>
      </c>
      <c r="J299" s="18">
        <v>30</v>
      </c>
      <c r="K299" s="18">
        <v>46</v>
      </c>
      <c r="L299" s="18">
        <v>29</v>
      </c>
      <c r="M299" s="18">
        <v>8</v>
      </c>
      <c r="N299" s="18" t="s">
        <v>32</v>
      </c>
    </row>
    <row r="300" spans="1:14" x14ac:dyDescent="0.25">
      <c r="A300" s="18">
        <f t="shared" si="19"/>
        <v>611</v>
      </c>
      <c r="B300" s="24" t="s">
        <v>330</v>
      </c>
      <c r="C300" s="92">
        <v>42684</v>
      </c>
      <c r="D300" s="19" t="str">
        <f t="shared" si="20"/>
        <v>J</v>
      </c>
      <c r="E300" s="19">
        <f t="shared" si="21"/>
        <v>45</v>
      </c>
      <c r="F300" s="18">
        <v>48</v>
      </c>
      <c r="G300" s="18">
        <v>22</v>
      </c>
      <c r="H300" s="18">
        <v>28</v>
      </c>
      <c r="I300" s="18">
        <v>2</v>
      </c>
      <c r="J300" s="18">
        <v>8</v>
      </c>
      <c r="K300" s="18">
        <v>15</v>
      </c>
      <c r="L300" s="18">
        <v>29</v>
      </c>
      <c r="M300" s="18">
        <v>6</v>
      </c>
      <c r="N300" s="18" t="s">
        <v>32</v>
      </c>
    </row>
    <row r="301" spans="1:14" x14ac:dyDescent="0.25">
      <c r="A301" s="18">
        <f t="shared" si="19"/>
        <v>612</v>
      </c>
      <c r="B301" s="24" t="s">
        <v>331</v>
      </c>
      <c r="C301" s="92">
        <v>42686</v>
      </c>
      <c r="D301" s="19" t="str">
        <f t="shared" si="20"/>
        <v>S</v>
      </c>
      <c r="E301" s="19">
        <f t="shared" si="21"/>
        <v>45</v>
      </c>
      <c r="F301" s="18">
        <v>5</v>
      </c>
      <c r="G301" s="18">
        <v>22</v>
      </c>
      <c r="H301" s="18">
        <v>26</v>
      </c>
      <c r="I301" s="18">
        <v>33</v>
      </c>
      <c r="J301" s="18">
        <v>47</v>
      </c>
      <c r="K301" s="18">
        <v>48</v>
      </c>
      <c r="L301" s="18">
        <v>4</v>
      </c>
      <c r="M301" s="18">
        <v>0</v>
      </c>
      <c r="N301" s="18" t="s">
        <v>32</v>
      </c>
    </row>
    <row r="302" spans="1:14" x14ac:dyDescent="0.25">
      <c r="A302" s="18">
        <f t="shared" si="19"/>
        <v>613</v>
      </c>
      <c r="B302" s="24" t="s">
        <v>332</v>
      </c>
      <c r="C302" s="92">
        <v>42691</v>
      </c>
      <c r="D302" s="19" t="str">
        <f t="shared" si="20"/>
        <v>J</v>
      </c>
      <c r="E302" s="19">
        <f t="shared" si="21"/>
        <v>46</v>
      </c>
      <c r="F302" s="18">
        <v>2</v>
      </c>
      <c r="G302" s="18">
        <v>9</v>
      </c>
      <c r="H302" s="18">
        <v>16</v>
      </c>
      <c r="I302" s="18">
        <v>21</v>
      </c>
      <c r="J302" s="18">
        <v>30</v>
      </c>
      <c r="K302" s="18">
        <v>31</v>
      </c>
      <c r="L302" s="18">
        <v>34</v>
      </c>
      <c r="M302" s="18">
        <v>1</v>
      </c>
      <c r="N302" s="18" t="s">
        <v>32</v>
      </c>
    </row>
    <row r="303" spans="1:14" x14ac:dyDescent="0.25">
      <c r="A303" s="18">
        <f t="shared" si="19"/>
        <v>614</v>
      </c>
      <c r="B303" s="24" t="s">
        <v>333</v>
      </c>
      <c r="C303" s="92">
        <v>42693</v>
      </c>
      <c r="D303" s="19" t="str">
        <f t="shared" si="20"/>
        <v>S</v>
      </c>
      <c r="E303" s="19">
        <f t="shared" si="21"/>
        <v>46</v>
      </c>
      <c r="F303" s="18">
        <v>48</v>
      </c>
      <c r="G303" s="18">
        <v>39</v>
      </c>
      <c r="H303" s="18">
        <v>15</v>
      </c>
      <c r="I303" s="18">
        <v>46</v>
      </c>
      <c r="J303" s="18">
        <v>6</v>
      </c>
      <c r="K303" s="18">
        <v>14</v>
      </c>
      <c r="L303" s="18">
        <v>41</v>
      </c>
      <c r="M303" s="18">
        <v>0</v>
      </c>
      <c r="N303" s="18" t="s">
        <v>32</v>
      </c>
    </row>
    <row r="304" spans="1:14" x14ac:dyDescent="0.25">
      <c r="A304" s="18">
        <f t="shared" si="19"/>
        <v>615</v>
      </c>
      <c r="B304" s="24" t="s">
        <v>334</v>
      </c>
      <c r="C304" s="92">
        <v>42698</v>
      </c>
      <c r="D304" s="19" t="str">
        <f t="shared" si="20"/>
        <v>J</v>
      </c>
      <c r="E304" s="19">
        <f t="shared" si="21"/>
        <v>47</v>
      </c>
      <c r="F304" s="18">
        <v>1</v>
      </c>
      <c r="G304" s="18">
        <v>6</v>
      </c>
      <c r="H304" s="18">
        <v>10</v>
      </c>
      <c r="I304" s="18">
        <v>14</v>
      </c>
      <c r="J304" s="18">
        <v>34</v>
      </c>
      <c r="K304" s="18">
        <v>46</v>
      </c>
      <c r="L304" s="18">
        <v>24</v>
      </c>
      <c r="M304" s="18">
        <v>4</v>
      </c>
      <c r="N304" s="18" t="s">
        <v>32</v>
      </c>
    </row>
    <row r="305" spans="1:14" x14ac:dyDescent="0.25">
      <c r="A305" s="18">
        <f t="shared" si="19"/>
        <v>616</v>
      </c>
      <c r="B305" s="24" t="s">
        <v>335</v>
      </c>
      <c r="C305" s="92">
        <v>42700</v>
      </c>
      <c r="D305" s="19" t="str">
        <f t="shared" si="20"/>
        <v>S</v>
      </c>
      <c r="E305" s="19">
        <f t="shared" si="21"/>
        <v>47</v>
      </c>
      <c r="F305" s="18">
        <v>15</v>
      </c>
      <c r="G305" s="18">
        <v>28</v>
      </c>
      <c r="H305" s="18">
        <v>19</v>
      </c>
      <c r="I305" s="18">
        <v>20</v>
      </c>
      <c r="J305" s="18">
        <v>3</v>
      </c>
      <c r="K305" s="18">
        <v>14</v>
      </c>
      <c r="L305" s="18">
        <v>47</v>
      </c>
      <c r="M305" s="18">
        <v>4</v>
      </c>
      <c r="N305" s="18" t="s">
        <v>32</v>
      </c>
    </row>
    <row r="306" spans="1:14" x14ac:dyDescent="0.25">
      <c r="A306" s="18">
        <f t="shared" si="19"/>
        <v>617</v>
      </c>
      <c r="B306" s="24" t="s">
        <v>335</v>
      </c>
      <c r="C306" s="92">
        <v>42705</v>
      </c>
      <c r="D306" s="19" t="str">
        <f t="shared" si="20"/>
        <v>J</v>
      </c>
      <c r="E306" s="19">
        <f t="shared" si="21"/>
        <v>48</v>
      </c>
      <c r="F306" s="18">
        <v>22</v>
      </c>
      <c r="G306" s="18">
        <v>30</v>
      </c>
      <c r="H306" s="18">
        <v>33</v>
      </c>
      <c r="I306" s="18">
        <v>40</v>
      </c>
      <c r="J306" s="18">
        <v>42</v>
      </c>
      <c r="K306" s="18">
        <v>45</v>
      </c>
      <c r="L306" s="18">
        <v>31</v>
      </c>
      <c r="M306" s="18">
        <v>7</v>
      </c>
      <c r="N306" s="18" t="s">
        <v>32</v>
      </c>
    </row>
    <row r="307" spans="1:14" x14ac:dyDescent="0.25">
      <c r="A307" s="18">
        <f t="shared" si="19"/>
        <v>618</v>
      </c>
      <c r="B307" s="24" t="s">
        <v>335</v>
      </c>
      <c r="C307" s="92">
        <v>42707</v>
      </c>
      <c r="D307" s="19" t="str">
        <f t="shared" si="20"/>
        <v>S</v>
      </c>
      <c r="E307" s="19">
        <f t="shared" si="21"/>
        <v>48</v>
      </c>
      <c r="F307" s="18">
        <v>3</v>
      </c>
      <c r="G307" s="18">
        <v>5</v>
      </c>
      <c r="H307" s="18">
        <v>8</v>
      </c>
      <c r="I307" s="18">
        <v>13</v>
      </c>
      <c r="J307" s="18">
        <v>21</v>
      </c>
      <c r="K307" s="18">
        <v>43</v>
      </c>
      <c r="L307" s="18">
        <v>46</v>
      </c>
      <c r="M307" s="18">
        <v>8</v>
      </c>
      <c r="N307" s="18" t="s">
        <v>32</v>
      </c>
    </row>
    <row r="308" spans="1:14" x14ac:dyDescent="0.25">
      <c r="A308" s="18">
        <f t="shared" si="19"/>
        <v>619</v>
      </c>
      <c r="B308" s="24" t="s">
        <v>336</v>
      </c>
      <c r="C308" s="92">
        <v>42712</v>
      </c>
      <c r="D308" s="19" t="str">
        <f t="shared" si="20"/>
        <v>J</v>
      </c>
      <c r="E308" s="19">
        <f t="shared" si="21"/>
        <v>49</v>
      </c>
      <c r="F308" s="18">
        <v>44</v>
      </c>
      <c r="G308" s="18">
        <v>21</v>
      </c>
      <c r="H308" s="18">
        <v>7</v>
      </c>
      <c r="I308" s="18">
        <v>12</v>
      </c>
      <c r="J308" s="18">
        <v>46</v>
      </c>
      <c r="K308" s="18">
        <v>13</v>
      </c>
      <c r="L308" s="18">
        <v>1</v>
      </c>
      <c r="M308" s="18">
        <v>4</v>
      </c>
      <c r="N308" s="18" t="s">
        <v>32</v>
      </c>
    </row>
    <row r="309" spans="1:14" x14ac:dyDescent="0.25">
      <c r="A309" s="18">
        <f t="shared" si="19"/>
        <v>620</v>
      </c>
      <c r="B309" s="24" t="s">
        <v>337</v>
      </c>
      <c r="C309" s="92">
        <v>42714</v>
      </c>
      <c r="D309" s="19" t="str">
        <f t="shared" si="20"/>
        <v>S</v>
      </c>
      <c r="E309" s="19">
        <f t="shared" si="21"/>
        <v>49</v>
      </c>
      <c r="F309" s="18">
        <v>37</v>
      </c>
      <c r="G309" s="18">
        <v>47</v>
      </c>
      <c r="H309" s="18">
        <v>9</v>
      </c>
      <c r="I309" s="18">
        <v>15</v>
      </c>
      <c r="J309" s="18">
        <v>49</v>
      </c>
      <c r="K309" s="18">
        <v>25</v>
      </c>
      <c r="L309" s="18">
        <v>40</v>
      </c>
      <c r="M309" s="18">
        <v>6</v>
      </c>
      <c r="N309" s="18" t="s">
        <v>32</v>
      </c>
    </row>
    <row r="310" spans="1:14" x14ac:dyDescent="0.25">
      <c r="A310" s="18">
        <f t="shared" si="19"/>
        <v>621</v>
      </c>
      <c r="B310" s="24" t="s">
        <v>338</v>
      </c>
      <c r="C310" s="92">
        <v>42719</v>
      </c>
      <c r="D310" s="19" t="str">
        <f t="shared" si="20"/>
        <v>J</v>
      </c>
      <c r="E310" s="19">
        <f t="shared" si="21"/>
        <v>50</v>
      </c>
      <c r="F310" s="18">
        <v>38</v>
      </c>
      <c r="G310" s="18">
        <v>31</v>
      </c>
      <c r="H310" s="18">
        <v>16</v>
      </c>
      <c r="I310" s="18">
        <v>21</v>
      </c>
      <c r="J310" s="18">
        <v>17</v>
      </c>
      <c r="K310" s="18">
        <v>26</v>
      </c>
      <c r="L310" s="18">
        <v>3</v>
      </c>
      <c r="M310" s="18">
        <v>3</v>
      </c>
      <c r="N310" s="18" t="s">
        <v>32</v>
      </c>
    </row>
    <row r="311" spans="1:14" x14ac:dyDescent="0.25">
      <c r="A311" s="18">
        <f t="shared" si="19"/>
        <v>622</v>
      </c>
      <c r="B311" s="24" t="s">
        <v>339</v>
      </c>
      <c r="C311" s="92">
        <v>42721</v>
      </c>
      <c r="D311" s="19" t="str">
        <f t="shared" si="20"/>
        <v>S</v>
      </c>
      <c r="E311" s="19">
        <f t="shared" si="21"/>
        <v>50</v>
      </c>
      <c r="F311" s="18">
        <v>35</v>
      </c>
      <c r="G311" s="18">
        <v>31</v>
      </c>
      <c r="H311" s="18">
        <v>45</v>
      </c>
      <c r="I311" s="18">
        <v>34</v>
      </c>
      <c r="J311" s="18">
        <v>11</v>
      </c>
      <c r="K311" s="18">
        <v>18</v>
      </c>
      <c r="L311" s="18">
        <v>32</v>
      </c>
      <c r="M311" s="18">
        <v>4</v>
      </c>
      <c r="N311" s="18" t="s">
        <v>32</v>
      </c>
    </row>
    <row r="312" spans="1:14" x14ac:dyDescent="0.25">
      <c r="A312" s="18">
        <f t="shared" si="19"/>
        <v>623</v>
      </c>
      <c r="B312" s="24" t="s">
        <v>340</v>
      </c>
      <c r="C312" s="92">
        <v>42726</v>
      </c>
      <c r="D312" s="19" t="str">
        <f t="shared" si="20"/>
        <v>J</v>
      </c>
      <c r="E312" s="19">
        <f t="shared" si="21"/>
        <v>51</v>
      </c>
      <c r="F312" s="18">
        <v>17</v>
      </c>
      <c r="G312" s="18">
        <v>49</v>
      </c>
      <c r="H312" s="18">
        <v>39</v>
      </c>
      <c r="I312" s="18">
        <v>31</v>
      </c>
      <c r="J312" s="18">
        <v>28</v>
      </c>
      <c r="K312" s="18">
        <v>47</v>
      </c>
      <c r="L312" s="18">
        <v>4</v>
      </c>
      <c r="M312" s="18">
        <v>9</v>
      </c>
      <c r="N312" s="18" t="s">
        <v>32</v>
      </c>
    </row>
    <row r="313" spans="1:14" x14ac:dyDescent="0.25">
      <c r="A313" s="18">
        <f t="shared" si="19"/>
        <v>624</v>
      </c>
      <c r="B313" s="24" t="s">
        <v>341</v>
      </c>
      <c r="C313" s="92">
        <v>42728</v>
      </c>
      <c r="D313" s="19" t="str">
        <f t="shared" si="20"/>
        <v>S</v>
      </c>
      <c r="E313" s="19">
        <f t="shared" si="21"/>
        <v>51</v>
      </c>
      <c r="F313" s="18">
        <v>36</v>
      </c>
      <c r="G313" s="18">
        <v>26</v>
      </c>
      <c r="H313" s="18">
        <v>40</v>
      </c>
      <c r="I313" s="18">
        <v>29</v>
      </c>
      <c r="J313" s="18">
        <v>34</v>
      </c>
      <c r="K313" s="18">
        <v>31</v>
      </c>
      <c r="L313" s="18">
        <v>49</v>
      </c>
      <c r="M313" s="18">
        <v>9</v>
      </c>
      <c r="N313" s="18" t="s">
        <v>32</v>
      </c>
    </row>
    <row r="314" spans="1:14" x14ac:dyDescent="0.25">
      <c r="A314" s="18">
        <f t="shared" si="19"/>
        <v>625</v>
      </c>
      <c r="B314" s="24" t="s">
        <v>342</v>
      </c>
      <c r="C314" s="92">
        <v>42733</v>
      </c>
      <c r="D314" s="19" t="str">
        <f t="shared" si="20"/>
        <v>J</v>
      </c>
      <c r="E314" s="19">
        <f t="shared" si="21"/>
        <v>52</v>
      </c>
      <c r="F314" s="18">
        <v>7</v>
      </c>
      <c r="G314" s="18">
        <v>19</v>
      </c>
      <c r="H314" s="18">
        <v>28</v>
      </c>
      <c r="I314" s="18">
        <v>33</v>
      </c>
      <c r="J314" s="18">
        <v>38</v>
      </c>
      <c r="K314" s="18">
        <v>45</v>
      </c>
      <c r="L314" s="18">
        <v>10</v>
      </c>
      <c r="M314" s="18">
        <v>1</v>
      </c>
      <c r="N314" s="18" t="s">
        <v>32</v>
      </c>
    </row>
    <row r="315" spans="1:14" x14ac:dyDescent="0.25">
      <c r="A315" s="18">
        <f t="shared" si="19"/>
        <v>626</v>
      </c>
      <c r="B315" s="24" t="s">
        <v>343</v>
      </c>
      <c r="C315" s="92">
        <v>42735</v>
      </c>
      <c r="D315" s="19" t="str">
        <f t="shared" si="20"/>
        <v>S</v>
      </c>
      <c r="E315" s="19">
        <f t="shared" si="21"/>
        <v>52</v>
      </c>
      <c r="F315" s="18">
        <v>14</v>
      </c>
      <c r="G315" s="18">
        <v>36</v>
      </c>
      <c r="H315" s="18">
        <v>29</v>
      </c>
      <c r="I315" s="18">
        <v>2</v>
      </c>
      <c r="J315" s="18">
        <v>3</v>
      </c>
      <c r="K315" s="18">
        <v>40</v>
      </c>
      <c r="L315" s="18">
        <v>46</v>
      </c>
      <c r="M315" s="18">
        <v>2</v>
      </c>
      <c r="N315" s="18" t="s">
        <v>32</v>
      </c>
    </row>
    <row r="316" spans="1:14" x14ac:dyDescent="0.25">
      <c r="A316" s="18">
        <f t="shared" si="19"/>
        <v>627</v>
      </c>
      <c r="B316" s="24" t="s">
        <v>344</v>
      </c>
      <c r="C316" s="92">
        <v>42740</v>
      </c>
      <c r="D316" s="19" t="str">
        <f t="shared" si="20"/>
        <v>J</v>
      </c>
      <c r="E316" s="19">
        <f t="shared" si="21"/>
        <v>1</v>
      </c>
      <c r="F316" s="18">
        <v>23</v>
      </c>
      <c r="G316" s="18">
        <v>3</v>
      </c>
      <c r="H316" s="18">
        <v>49</v>
      </c>
      <c r="I316" s="18">
        <v>12</v>
      </c>
      <c r="J316" s="18">
        <v>9</v>
      </c>
      <c r="K316" s="18">
        <v>27</v>
      </c>
      <c r="L316" s="18">
        <v>36</v>
      </c>
      <c r="M316" s="18">
        <v>3</v>
      </c>
      <c r="N316" s="18" t="s">
        <v>32</v>
      </c>
    </row>
    <row r="317" spans="1:14" x14ac:dyDescent="0.25">
      <c r="A317" s="18">
        <f t="shared" si="19"/>
        <v>628</v>
      </c>
      <c r="B317" s="24" t="s">
        <v>345</v>
      </c>
      <c r="C317" s="92">
        <v>42742</v>
      </c>
      <c r="D317" s="19" t="str">
        <f t="shared" si="20"/>
        <v>S</v>
      </c>
      <c r="E317" s="19">
        <f t="shared" si="21"/>
        <v>1</v>
      </c>
      <c r="F317" s="18">
        <v>12</v>
      </c>
      <c r="G317" s="18">
        <v>28</v>
      </c>
      <c r="H317" s="18">
        <v>32</v>
      </c>
      <c r="I317" s="18">
        <v>33</v>
      </c>
      <c r="J317" s="18">
        <v>36</v>
      </c>
      <c r="K317" s="18">
        <v>49</v>
      </c>
      <c r="L317" s="18">
        <v>23</v>
      </c>
      <c r="M317" s="18">
        <v>5</v>
      </c>
      <c r="N317" s="18" t="s">
        <v>32</v>
      </c>
    </row>
    <row r="318" spans="1:14" x14ac:dyDescent="0.25">
      <c r="A318" s="18">
        <f t="shared" si="19"/>
        <v>629</v>
      </c>
      <c r="B318" s="24" t="s">
        <v>346</v>
      </c>
      <c r="C318" s="92">
        <v>42747</v>
      </c>
      <c r="D318" s="19" t="str">
        <f t="shared" si="20"/>
        <v>J</v>
      </c>
      <c r="E318" s="19">
        <f t="shared" si="21"/>
        <v>2</v>
      </c>
      <c r="F318" s="18">
        <v>6</v>
      </c>
      <c r="G318" s="18">
        <v>10</v>
      </c>
      <c r="H318" s="18">
        <v>32</v>
      </c>
      <c r="I318" s="18">
        <v>34</v>
      </c>
      <c r="J318" s="18">
        <v>36</v>
      </c>
      <c r="K318" s="18">
        <v>48</v>
      </c>
      <c r="L318" s="18">
        <v>15</v>
      </c>
      <c r="M318" s="18">
        <v>5</v>
      </c>
      <c r="N318" s="18" t="s">
        <v>32</v>
      </c>
    </row>
    <row r="319" spans="1:14" x14ac:dyDescent="0.25">
      <c r="A319" s="18">
        <f t="shared" si="19"/>
        <v>630</v>
      </c>
      <c r="B319" s="24" t="s">
        <v>347</v>
      </c>
      <c r="C319" s="92">
        <v>42749</v>
      </c>
      <c r="D319" s="19" t="str">
        <f t="shared" si="20"/>
        <v>S</v>
      </c>
      <c r="E319" s="19">
        <f t="shared" si="21"/>
        <v>2</v>
      </c>
      <c r="F319" s="18">
        <v>2</v>
      </c>
      <c r="G319" s="18">
        <v>10</v>
      </c>
      <c r="H319" s="18">
        <v>6</v>
      </c>
      <c r="I319" s="18">
        <v>43</v>
      </c>
      <c r="J319" s="18">
        <v>3</v>
      </c>
      <c r="K319" s="18">
        <v>25</v>
      </c>
      <c r="L319" s="18">
        <v>42</v>
      </c>
      <c r="M319" s="18">
        <v>7</v>
      </c>
      <c r="N319" s="18" t="s">
        <v>32</v>
      </c>
    </row>
    <row r="320" spans="1:14" x14ac:dyDescent="0.25">
      <c r="A320" s="18">
        <f t="shared" si="19"/>
        <v>631</v>
      </c>
      <c r="B320" s="24" t="s">
        <v>348</v>
      </c>
      <c r="C320" s="92">
        <v>42754</v>
      </c>
      <c r="D320" s="19" t="str">
        <f t="shared" si="20"/>
        <v>J</v>
      </c>
      <c r="E320" s="19">
        <f t="shared" si="21"/>
        <v>3</v>
      </c>
      <c r="F320" s="18">
        <v>1</v>
      </c>
      <c r="G320" s="18">
        <v>6</v>
      </c>
      <c r="H320" s="18">
        <v>23</v>
      </c>
      <c r="I320" s="18">
        <v>32</v>
      </c>
      <c r="J320" s="18">
        <v>39</v>
      </c>
      <c r="K320" s="18">
        <v>48</v>
      </c>
      <c r="L320" s="18">
        <v>46</v>
      </c>
      <c r="M320" s="18">
        <v>4</v>
      </c>
      <c r="N320" s="18" t="s">
        <v>32</v>
      </c>
    </row>
    <row r="321" spans="1:14" x14ac:dyDescent="0.25">
      <c r="A321" s="18">
        <f t="shared" si="19"/>
        <v>632</v>
      </c>
      <c r="B321" s="24" t="s">
        <v>349</v>
      </c>
      <c r="C321" s="92">
        <v>42756</v>
      </c>
      <c r="D321" s="19" t="str">
        <f t="shared" si="20"/>
        <v>S</v>
      </c>
      <c r="E321" s="19">
        <f t="shared" si="21"/>
        <v>3</v>
      </c>
      <c r="F321" s="18">
        <v>4</v>
      </c>
      <c r="G321" s="18">
        <v>9</v>
      </c>
      <c r="H321" s="18">
        <v>15</v>
      </c>
      <c r="I321" s="18">
        <v>29</v>
      </c>
      <c r="J321" s="18">
        <v>37</v>
      </c>
      <c r="K321" s="18">
        <v>45</v>
      </c>
      <c r="L321" s="18">
        <v>1</v>
      </c>
      <c r="M321" s="18">
        <v>2</v>
      </c>
      <c r="N321" s="18" t="s">
        <v>32</v>
      </c>
    </row>
    <row r="322" spans="1:14" x14ac:dyDescent="0.25">
      <c r="A322" s="18">
        <f t="shared" si="19"/>
        <v>633</v>
      </c>
      <c r="B322" s="24" t="s">
        <v>350</v>
      </c>
      <c r="C322" s="92">
        <v>42761</v>
      </c>
      <c r="D322" s="19" t="str">
        <f t="shared" si="20"/>
        <v>J</v>
      </c>
      <c r="E322" s="19">
        <f t="shared" si="21"/>
        <v>4</v>
      </c>
      <c r="F322" s="18">
        <v>13</v>
      </c>
      <c r="G322" s="18">
        <v>15</v>
      </c>
      <c r="H322" s="18">
        <v>20</v>
      </c>
      <c r="I322" s="18">
        <v>24</v>
      </c>
      <c r="J322" s="18">
        <v>32</v>
      </c>
      <c r="K322" s="18">
        <v>38</v>
      </c>
      <c r="L322" s="18">
        <v>1</v>
      </c>
      <c r="M322" s="18">
        <v>5</v>
      </c>
      <c r="N322" s="18" t="s">
        <v>32</v>
      </c>
    </row>
    <row r="323" spans="1:14" x14ac:dyDescent="0.25">
      <c r="A323" s="18">
        <f t="shared" si="19"/>
        <v>634</v>
      </c>
      <c r="B323" s="24" t="s">
        <v>351</v>
      </c>
      <c r="C323" s="92">
        <v>42763</v>
      </c>
      <c r="D323" s="19" t="str">
        <f t="shared" si="20"/>
        <v>S</v>
      </c>
      <c r="E323" s="19">
        <f t="shared" si="21"/>
        <v>4</v>
      </c>
      <c r="F323" s="18">
        <v>10</v>
      </c>
      <c r="G323" s="18">
        <v>24</v>
      </c>
      <c r="H323" s="18">
        <v>47</v>
      </c>
      <c r="I323" s="18">
        <v>35</v>
      </c>
      <c r="J323" s="18">
        <v>8</v>
      </c>
      <c r="K323" s="18">
        <v>22</v>
      </c>
      <c r="L323" s="18">
        <v>14</v>
      </c>
      <c r="M323" s="18">
        <v>3</v>
      </c>
      <c r="N323" s="18" t="s">
        <v>32</v>
      </c>
    </row>
    <row r="324" spans="1:14" x14ac:dyDescent="0.25">
      <c r="A324" s="18">
        <f t="shared" ref="A324:A387" si="22">+A323+1</f>
        <v>635</v>
      </c>
      <c r="B324" s="24" t="s">
        <v>352</v>
      </c>
      <c r="C324" s="92">
        <v>42768</v>
      </c>
      <c r="D324" s="19" t="str">
        <f t="shared" si="20"/>
        <v>J</v>
      </c>
      <c r="E324" s="19">
        <f t="shared" si="21"/>
        <v>5</v>
      </c>
      <c r="F324" s="18">
        <v>4</v>
      </c>
      <c r="G324" s="18">
        <v>5</v>
      </c>
      <c r="H324" s="18">
        <v>17</v>
      </c>
      <c r="I324" s="18">
        <v>24</v>
      </c>
      <c r="J324" s="18">
        <v>27</v>
      </c>
      <c r="K324" s="18">
        <v>28</v>
      </c>
      <c r="L324" s="18">
        <v>45</v>
      </c>
      <c r="M324" s="18">
        <v>3</v>
      </c>
      <c r="N324" s="18" t="s">
        <v>32</v>
      </c>
    </row>
    <row r="325" spans="1:14" x14ac:dyDescent="0.25">
      <c r="A325" s="18">
        <f t="shared" si="22"/>
        <v>636</v>
      </c>
      <c r="B325" s="24" t="s">
        <v>353</v>
      </c>
      <c r="C325" s="92">
        <v>42770</v>
      </c>
      <c r="D325" s="19" t="str">
        <f t="shared" si="20"/>
        <v>S</v>
      </c>
      <c r="E325" s="19">
        <f t="shared" si="21"/>
        <v>5</v>
      </c>
      <c r="F325" s="18">
        <v>8</v>
      </c>
      <c r="G325" s="18">
        <v>16</v>
      </c>
      <c r="H325" s="18">
        <v>31</v>
      </c>
      <c r="I325" s="18">
        <v>32</v>
      </c>
      <c r="J325" s="18">
        <v>39</v>
      </c>
      <c r="K325" s="18">
        <v>42</v>
      </c>
      <c r="L325" s="18">
        <v>18</v>
      </c>
      <c r="M325" s="18">
        <v>5</v>
      </c>
      <c r="N325" s="18" t="s">
        <v>32</v>
      </c>
    </row>
    <row r="326" spans="1:14" x14ac:dyDescent="0.25">
      <c r="A326" s="18">
        <f t="shared" si="22"/>
        <v>637</v>
      </c>
      <c r="B326" s="24" t="s">
        <v>354</v>
      </c>
      <c r="C326" s="92">
        <v>42775</v>
      </c>
      <c r="D326" s="19" t="str">
        <f t="shared" si="20"/>
        <v>J</v>
      </c>
      <c r="E326" s="19">
        <f t="shared" si="21"/>
        <v>6</v>
      </c>
      <c r="F326" s="18">
        <v>5</v>
      </c>
      <c r="G326" s="18">
        <v>18</v>
      </c>
      <c r="H326" s="18">
        <v>30</v>
      </c>
      <c r="I326" s="18">
        <v>33</v>
      </c>
      <c r="J326" s="18">
        <v>37</v>
      </c>
      <c r="K326" s="18">
        <v>45</v>
      </c>
      <c r="L326" s="18">
        <v>8</v>
      </c>
      <c r="M326" s="18">
        <v>7</v>
      </c>
      <c r="N326" s="18" t="s">
        <v>32</v>
      </c>
    </row>
    <row r="327" spans="1:14" x14ac:dyDescent="0.25">
      <c r="A327" s="18">
        <f t="shared" si="22"/>
        <v>638</v>
      </c>
      <c r="B327" s="24" t="s">
        <v>355</v>
      </c>
      <c r="C327" s="92">
        <v>42777</v>
      </c>
      <c r="D327" s="19" t="str">
        <f t="shared" si="20"/>
        <v>S</v>
      </c>
      <c r="E327" s="19">
        <f t="shared" si="21"/>
        <v>6</v>
      </c>
      <c r="F327" s="18">
        <v>4</v>
      </c>
      <c r="G327" s="18">
        <v>22</v>
      </c>
      <c r="H327" s="18">
        <v>36</v>
      </c>
      <c r="I327" s="18">
        <v>40</v>
      </c>
      <c r="J327" s="18">
        <v>43</v>
      </c>
      <c r="K327" s="18">
        <v>47</v>
      </c>
      <c r="L327" s="18">
        <v>5</v>
      </c>
      <c r="M327" s="18">
        <v>4</v>
      </c>
      <c r="N327" s="18" t="s">
        <v>32</v>
      </c>
    </row>
    <row r="328" spans="1:14" x14ac:dyDescent="0.25">
      <c r="A328" s="18">
        <f t="shared" si="22"/>
        <v>639</v>
      </c>
      <c r="B328" s="24" t="s">
        <v>356</v>
      </c>
      <c r="C328" s="92">
        <v>42782</v>
      </c>
      <c r="D328" s="19" t="str">
        <f t="shared" si="20"/>
        <v>J</v>
      </c>
      <c r="E328" s="19">
        <f t="shared" si="21"/>
        <v>7</v>
      </c>
      <c r="F328" s="18">
        <v>3</v>
      </c>
      <c r="G328" s="18">
        <v>16</v>
      </c>
      <c r="H328" s="18">
        <v>25</v>
      </c>
      <c r="I328" s="18">
        <v>29</v>
      </c>
      <c r="J328" s="18">
        <v>35</v>
      </c>
      <c r="K328" s="18">
        <v>40</v>
      </c>
      <c r="L328" s="18">
        <v>5</v>
      </c>
      <c r="M328" s="18">
        <v>7</v>
      </c>
      <c r="N328" s="18" t="s">
        <v>32</v>
      </c>
    </row>
    <row r="329" spans="1:14" x14ac:dyDescent="0.25">
      <c r="A329" s="18">
        <f t="shared" si="22"/>
        <v>640</v>
      </c>
      <c r="B329" s="24" t="s">
        <v>357</v>
      </c>
      <c r="C329" s="92">
        <v>42784</v>
      </c>
      <c r="D329" s="19" t="str">
        <f t="shared" si="20"/>
        <v>S</v>
      </c>
      <c r="E329" s="19">
        <f t="shared" si="21"/>
        <v>7</v>
      </c>
      <c r="F329" s="18">
        <v>5</v>
      </c>
      <c r="G329" s="18">
        <v>21</v>
      </c>
      <c r="H329" s="18">
        <v>15</v>
      </c>
      <c r="I329" s="18">
        <v>19</v>
      </c>
      <c r="J329" s="18">
        <v>39</v>
      </c>
      <c r="K329" s="18">
        <v>29</v>
      </c>
      <c r="L329" s="18">
        <v>43</v>
      </c>
      <c r="M329" s="18">
        <v>1</v>
      </c>
      <c r="N329" s="18" t="s">
        <v>32</v>
      </c>
    </row>
    <row r="330" spans="1:14" x14ac:dyDescent="0.25">
      <c r="A330" s="18">
        <f t="shared" si="22"/>
        <v>641</v>
      </c>
      <c r="B330" s="24" t="s">
        <v>358</v>
      </c>
      <c r="C330" s="92">
        <v>42789</v>
      </c>
      <c r="D330" s="19" t="str">
        <f t="shared" si="20"/>
        <v>J</v>
      </c>
      <c r="E330" s="19">
        <f t="shared" si="21"/>
        <v>8</v>
      </c>
      <c r="F330" s="18">
        <v>11</v>
      </c>
      <c r="G330" s="18">
        <v>12</v>
      </c>
      <c r="H330" s="18">
        <v>17</v>
      </c>
      <c r="I330" s="18">
        <v>27</v>
      </c>
      <c r="J330" s="18">
        <v>42</v>
      </c>
      <c r="K330" s="18">
        <v>48</v>
      </c>
      <c r="L330" s="18">
        <v>5</v>
      </c>
      <c r="M330" s="18">
        <v>0</v>
      </c>
      <c r="N330" s="18" t="s">
        <v>32</v>
      </c>
    </row>
    <row r="331" spans="1:14" x14ac:dyDescent="0.25">
      <c r="A331" s="18">
        <f t="shared" si="22"/>
        <v>642</v>
      </c>
      <c r="B331" s="24" t="s">
        <v>359</v>
      </c>
      <c r="C331" s="92">
        <v>42791</v>
      </c>
      <c r="D331" s="19" t="str">
        <f t="shared" si="20"/>
        <v>S</v>
      </c>
      <c r="E331" s="19">
        <f t="shared" si="21"/>
        <v>8</v>
      </c>
      <c r="F331" s="18">
        <v>2</v>
      </c>
      <c r="G331" s="18">
        <v>9</v>
      </c>
      <c r="H331" s="18">
        <v>13</v>
      </c>
      <c r="I331" s="18">
        <v>27</v>
      </c>
      <c r="J331" s="18">
        <v>36</v>
      </c>
      <c r="K331" s="18">
        <v>48</v>
      </c>
      <c r="L331" s="18">
        <v>28</v>
      </c>
      <c r="M331" s="18">
        <v>9</v>
      </c>
      <c r="N331" s="18" t="s">
        <v>32</v>
      </c>
    </row>
    <row r="332" spans="1:14" x14ac:dyDescent="0.25">
      <c r="A332" s="18">
        <f t="shared" si="22"/>
        <v>643</v>
      </c>
      <c r="B332" s="24" t="s">
        <v>360</v>
      </c>
      <c r="C332" s="92">
        <v>42796</v>
      </c>
      <c r="D332" s="19" t="str">
        <f t="shared" si="20"/>
        <v>J</v>
      </c>
      <c r="E332" s="19">
        <f t="shared" si="21"/>
        <v>9</v>
      </c>
      <c r="F332" s="18">
        <v>22</v>
      </c>
      <c r="G332" s="18">
        <v>25</v>
      </c>
      <c r="H332" s="18">
        <v>29</v>
      </c>
      <c r="I332" s="18">
        <v>41</v>
      </c>
      <c r="J332" s="18">
        <v>42</v>
      </c>
      <c r="K332" s="18">
        <v>43</v>
      </c>
      <c r="L332" s="18">
        <v>34</v>
      </c>
      <c r="M332" s="18">
        <v>5</v>
      </c>
      <c r="N332" s="18" t="s">
        <v>32</v>
      </c>
    </row>
    <row r="333" spans="1:14" x14ac:dyDescent="0.25">
      <c r="A333" s="18">
        <f t="shared" si="22"/>
        <v>644</v>
      </c>
      <c r="B333" s="24" t="s">
        <v>361</v>
      </c>
      <c r="C333" s="92">
        <v>42798</v>
      </c>
      <c r="D333" s="19" t="str">
        <f t="shared" si="20"/>
        <v>S</v>
      </c>
      <c r="E333" s="19">
        <f t="shared" si="21"/>
        <v>9</v>
      </c>
      <c r="F333" s="18">
        <v>8</v>
      </c>
      <c r="G333" s="18">
        <v>17</v>
      </c>
      <c r="H333" s="18">
        <v>25</v>
      </c>
      <c r="I333" s="18">
        <v>26</v>
      </c>
      <c r="J333" s="18">
        <v>38</v>
      </c>
      <c r="K333" s="18">
        <v>48</v>
      </c>
      <c r="L333" s="18">
        <v>4</v>
      </c>
      <c r="M333" s="18">
        <v>2</v>
      </c>
      <c r="N333" s="18" t="s">
        <v>32</v>
      </c>
    </row>
    <row r="334" spans="1:14" x14ac:dyDescent="0.25">
      <c r="A334" s="18">
        <f t="shared" si="22"/>
        <v>645</v>
      </c>
      <c r="B334" s="24" t="s">
        <v>362</v>
      </c>
      <c r="C334" s="92">
        <v>42803</v>
      </c>
      <c r="D334" s="19" t="str">
        <f t="shared" si="20"/>
        <v>J</v>
      </c>
      <c r="E334" s="19">
        <f t="shared" si="21"/>
        <v>10</v>
      </c>
      <c r="F334" s="18">
        <v>3</v>
      </c>
      <c r="G334" s="18">
        <v>4</v>
      </c>
      <c r="H334" s="18">
        <v>24</v>
      </c>
      <c r="I334" s="18">
        <v>30</v>
      </c>
      <c r="J334" s="18">
        <v>36</v>
      </c>
      <c r="K334" s="18">
        <v>44</v>
      </c>
      <c r="L334" s="18">
        <v>21</v>
      </c>
      <c r="M334" s="18">
        <v>8</v>
      </c>
      <c r="N334" s="18" t="s">
        <v>32</v>
      </c>
    </row>
    <row r="335" spans="1:14" x14ac:dyDescent="0.25">
      <c r="A335" s="18">
        <f t="shared" si="22"/>
        <v>646</v>
      </c>
      <c r="B335" s="24" t="s">
        <v>363</v>
      </c>
      <c r="C335" s="92">
        <v>42805</v>
      </c>
      <c r="D335" s="19" t="str">
        <f t="shared" si="20"/>
        <v>S</v>
      </c>
      <c r="E335" s="19">
        <f t="shared" si="21"/>
        <v>10</v>
      </c>
      <c r="F335" s="18">
        <v>1</v>
      </c>
      <c r="G335" s="18">
        <v>22</v>
      </c>
      <c r="H335" s="18">
        <v>28</v>
      </c>
      <c r="I335" s="18">
        <v>37</v>
      </c>
      <c r="J335" s="18">
        <v>39</v>
      </c>
      <c r="K335" s="18">
        <v>43</v>
      </c>
      <c r="L335" s="18">
        <v>44</v>
      </c>
      <c r="M335" s="18">
        <v>0</v>
      </c>
      <c r="N335" s="18" t="s">
        <v>32</v>
      </c>
    </row>
    <row r="336" spans="1:14" x14ac:dyDescent="0.25">
      <c r="A336" s="18">
        <f t="shared" si="22"/>
        <v>647</v>
      </c>
      <c r="B336" s="24" t="s">
        <v>364</v>
      </c>
      <c r="C336" s="92">
        <v>42810</v>
      </c>
      <c r="D336" s="19" t="str">
        <f t="shared" si="20"/>
        <v>J</v>
      </c>
      <c r="E336" s="19">
        <f t="shared" si="21"/>
        <v>11</v>
      </c>
      <c r="F336" s="18">
        <v>4</v>
      </c>
      <c r="G336" s="18">
        <v>38</v>
      </c>
      <c r="H336" s="18">
        <v>39</v>
      </c>
      <c r="I336" s="18">
        <v>41</v>
      </c>
      <c r="J336" s="18">
        <v>45</v>
      </c>
      <c r="K336" s="18">
        <v>49</v>
      </c>
      <c r="L336" s="18">
        <v>47</v>
      </c>
      <c r="M336" s="18">
        <v>0</v>
      </c>
      <c r="N336" s="18" t="s">
        <v>32</v>
      </c>
    </row>
    <row r="337" spans="1:14" x14ac:dyDescent="0.25">
      <c r="A337" s="18">
        <f t="shared" si="22"/>
        <v>648</v>
      </c>
      <c r="B337" s="24" t="s">
        <v>365</v>
      </c>
      <c r="C337" s="92">
        <v>42812</v>
      </c>
      <c r="D337" s="19" t="str">
        <f t="shared" si="20"/>
        <v>S</v>
      </c>
      <c r="E337" s="19">
        <f t="shared" si="21"/>
        <v>11</v>
      </c>
      <c r="F337" s="18">
        <v>3</v>
      </c>
      <c r="G337" s="18">
        <v>5</v>
      </c>
      <c r="H337" s="18">
        <v>14</v>
      </c>
      <c r="I337" s="18">
        <v>21</v>
      </c>
      <c r="J337" s="18">
        <v>28</v>
      </c>
      <c r="K337" s="18">
        <v>43</v>
      </c>
      <c r="L337" s="18">
        <v>23</v>
      </c>
      <c r="M337" s="18">
        <v>6</v>
      </c>
      <c r="N337" s="18" t="s">
        <v>32</v>
      </c>
    </row>
    <row r="338" spans="1:14" x14ac:dyDescent="0.25">
      <c r="A338" s="18">
        <f t="shared" si="22"/>
        <v>649</v>
      </c>
      <c r="B338" s="24" t="s">
        <v>366</v>
      </c>
      <c r="C338" s="92">
        <v>42817</v>
      </c>
      <c r="D338" s="19" t="str">
        <f t="shared" si="20"/>
        <v>J</v>
      </c>
      <c r="E338" s="19">
        <f t="shared" si="21"/>
        <v>12</v>
      </c>
      <c r="F338" s="18">
        <v>16</v>
      </c>
      <c r="G338" s="18">
        <v>25</v>
      </c>
      <c r="H338" s="18">
        <v>29</v>
      </c>
      <c r="I338" s="18">
        <v>35</v>
      </c>
      <c r="J338" s="18">
        <v>39</v>
      </c>
      <c r="K338" s="18">
        <v>49</v>
      </c>
      <c r="L338" s="18">
        <v>17</v>
      </c>
      <c r="M338" s="18">
        <v>5</v>
      </c>
      <c r="N338" s="18" t="s">
        <v>32</v>
      </c>
    </row>
    <row r="339" spans="1:14" x14ac:dyDescent="0.25">
      <c r="A339" s="18">
        <f t="shared" si="22"/>
        <v>650</v>
      </c>
      <c r="B339" s="24" t="s">
        <v>367</v>
      </c>
      <c r="C339" s="92">
        <v>42819</v>
      </c>
      <c r="D339" s="19" t="str">
        <f t="shared" si="20"/>
        <v>S</v>
      </c>
      <c r="E339" s="19">
        <f t="shared" si="21"/>
        <v>12</v>
      </c>
      <c r="F339" s="18">
        <v>7</v>
      </c>
      <c r="G339" s="18">
        <v>11</v>
      </c>
      <c r="H339" s="18">
        <v>36</v>
      </c>
      <c r="I339" s="18">
        <v>37</v>
      </c>
      <c r="J339" s="18">
        <v>40</v>
      </c>
      <c r="K339" s="18">
        <v>35</v>
      </c>
      <c r="L339" s="18">
        <v>8</v>
      </c>
      <c r="M339" s="18">
        <v>7</v>
      </c>
      <c r="N339" s="18" t="s">
        <v>32</v>
      </c>
    </row>
    <row r="340" spans="1:14" x14ac:dyDescent="0.25">
      <c r="A340" s="18">
        <f t="shared" si="22"/>
        <v>651</v>
      </c>
      <c r="B340" s="24" t="s">
        <v>368</v>
      </c>
      <c r="C340" s="92">
        <v>42824</v>
      </c>
      <c r="D340" s="19" t="str">
        <f t="shared" si="20"/>
        <v>J</v>
      </c>
      <c r="E340" s="19">
        <f t="shared" si="21"/>
        <v>13</v>
      </c>
      <c r="F340" s="18">
        <v>13</v>
      </c>
      <c r="G340" s="18">
        <v>20</v>
      </c>
      <c r="H340" s="18">
        <v>33</v>
      </c>
      <c r="I340" s="18">
        <v>35</v>
      </c>
      <c r="J340" s="18">
        <v>42</v>
      </c>
      <c r="K340" s="18">
        <v>48</v>
      </c>
      <c r="L340" s="18">
        <v>10</v>
      </c>
      <c r="M340" s="18">
        <v>0</v>
      </c>
      <c r="N340" s="18" t="s">
        <v>32</v>
      </c>
    </row>
    <row r="341" spans="1:14" x14ac:dyDescent="0.25">
      <c r="A341" s="18">
        <f t="shared" si="22"/>
        <v>652</v>
      </c>
      <c r="B341" s="24" t="s">
        <v>369</v>
      </c>
      <c r="C341" s="92">
        <v>42826</v>
      </c>
      <c r="D341" s="19" t="str">
        <f t="shared" si="20"/>
        <v>S</v>
      </c>
      <c r="E341" s="19">
        <f t="shared" si="21"/>
        <v>13</v>
      </c>
      <c r="F341" s="18">
        <v>18</v>
      </c>
      <c r="G341" s="18">
        <v>8</v>
      </c>
      <c r="H341" s="18">
        <v>22</v>
      </c>
      <c r="I341" s="18">
        <v>26</v>
      </c>
      <c r="J341" s="18">
        <v>6</v>
      </c>
      <c r="K341" s="18">
        <v>36</v>
      </c>
      <c r="L341" s="18">
        <v>13</v>
      </c>
      <c r="M341" s="18">
        <v>9</v>
      </c>
      <c r="N341" s="18" t="s">
        <v>32</v>
      </c>
    </row>
    <row r="342" spans="1:14" x14ac:dyDescent="0.25">
      <c r="A342" s="18">
        <f t="shared" si="22"/>
        <v>653</v>
      </c>
      <c r="B342" s="24" t="s">
        <v>370</v>
      </c>
      <c r="C342" s="92">
        <v>42831</v>
      </c>
      <c r="D342" s="19" t="str">
        <f t="shared" si="20"/>
        <v>J</v>
      </c>
      <c r="E342" s="19">
        <f t="shared" si="21"/>
        <v>14</v>
      </c>
      <c r="F342" s="18">
        <v>25</v>
      </c>
      <c r="G342" s="18">
        <v>29</v>
      </c>
      <c r="H342" s="18">
        <v>7</v>
      </c>
      <c r="I342" s="18">
        <v>16</v>
      </c>
      <c r="J342" s="18">
        <v>28</v>
      </c>
      <c r="K342" s="18">
        <v>15</v>
      </c>
      <c r="L342" s="18">
        <v>4</v>
      </c>
      <c r="M342" s="18">
        <v>7</v>
      </c>
      <c r="N342" s="18" t="s">
        <v>32</v>
      </c>
    </row>
    <row r="343" spans="1:14" x14ac:dyDescent="0.25">
      <c r="A343" s="18">
        <f t="shared" si="22"/>
        <v>654</v>
      </c>
      <c r="B343" s="24" t="s">
        <v>371</v>
      </c>
      <c r="C343" s="92">
        <v>42833</v>
      </c>
      <c r="D343" s="19" t="str">
        <f t="shared" si="20"/>
        <v>S</v>
      </c>
      <c r="E343" s="19">
        <f t="shared" si="21"/>
        <v>14</v>
      </c>
      <c r="F343" s="18">
        <v>48</v>
      </c>
      <c r="G343" s="18">
        <v>40</v>
      </c>
      <c r="H343" s="18">
        <v>47</v>
      </c>
      <c r="I343" s="18">
        <v>44</v>
      </c>
      <c r="J343" s="18">
        <v>19</v>
      </c>
      <c r="K343" s="18">
        <v>3</v>
      </c>
      <c r="L343" s="18">
        <v>24</v>
      </c>
      <c r="M343" s="18">
        <v>1</v>
      </c>
      <c r="N343" s="18" t="s">
        <v>32</v>
      </c>
    </row>
    <row r="344" spans="1:14" x14ac:dyDescent="0.25">
      <c r="A344" s="18">
        <f t="shared" si="22"/>
        <v>655</v>
      </c>
      <c r="B344" s="24" t="s">
        <v>372</v>
      </c>
      <c r="C344" s="92">
        <v>42838</v>
      </c>
      <c r="D344" s="19" t="str">
        <f t="shared" si="20"/>
        <v>J</v>
      </c>
      <c r="E344" s="19">
        <f t="shared" si="21"/>
        <v>15</v>
      </c>
      <c r="F344" s="18">
        <v>20</v>
      </c>
      <c r="G344" s="18">
        <v>14</v>
      </c>
      <c r="H344" s="18">
        <v>41</v>
      </c>
      <c r="I344" s="18">
        <v>24</v>
      </c>
      <c r="J344" s="18">
        <v>47</v>
      </c>
      <c r="K344" s="18">
        <v>2</v>
      </c>
      <c r="L344" s="18">
        <v>36</v>
      </c>
      <c r="M344" s="18">
        <v>3</v>
      </c>
      <c r="N344" s="18" t="s">
        <v>32</v>
      </c>
    </row>
    <row r="345" spans="1:14" x14ac:dyDescent="0.25">
      <c r="A345" s="18">
        <f t="shared" si="22"/>
        <v>656</v>
      </c>
      <c r="B345" s="24" t="s">
        <v>373</v>
      </c>
      <c r="C345" s="92">
        <v>42840</v>
      </c>
      <c r="D345" s="19" t="str">
        <f t="shared" si="20"/>
        <v>S</v>
      </c>
      <c r="E345" s="19">
        <f t="shared" si="21"/>
        <v>15</v>
      </c>
      <c r="F345" s="18">
        <v>6</v>
      </c>
      <c r="G345" s="18">
        <v>24</v>
      </c>
      <c r="H345" s="18">
        <v>35</v>
      </c>
      <c r="I345" s="18">
        <v>30</v>
      </c>
      <c r="J345" s="18">
        <v>14</v>
      </c>
      <c r="K345" s="18">
        <v>48</v>
      </c>
      <c r="L345" s="18">
        <v>4</v>
      </c>
      <c r="M345" s="18">
        <v>0</v>
      </c>
      <c r="N345" s="18" t="s">
        <v>32</v>
      </c>
    </row>
    <row r="346" spans="1:14" x14ac:dyDescent="0.25">
      <c r="A346" s="18">
        <f t="shared" si="22"/>
        <v>657</v>
      </c>
      <c r="B346" s="24" t="s">
        <v>374</v>
      </c>
      <c r="C346" s="92">
        <v>42845</v>
      </c>
      <c r="D346" s="19" t="str">
        <f t="shared" ref="D346:D409" si="23">CHOOSE(WEEKDAY(C346),"D","L","M","X","J","V","S")</f>
        <v>J</v>
      </c>
      <c r="E346" s="19">
        <f t="shared" ref="E346:E409" si="24">WEEKNUM(C346,21)</f>
        <v>16</v>
      </c>
      <c r="F346" s="18">
        <v>28</v>
      </c>
      <c r="G346" s="18">
        <v>21</v>
      </c>
      <c r="H346" s="18">
        <v>11</v>
      </c>
      <c r="I346" s="18">
        <v>16</v>
      </c>
      <c r="J346" s="18">
        <v>46</v>
      </c>
      <c r="K346" s="18">
        <v>22</v>
      </c>
      <c r="L346" s="18">
        <v>25</v>
      </c>
      <c r="M346" s="18">
        <v>6</v>
      </c>
      <c r="N346" s="18" t="s">
        <v>32</v>
      </c>
    </row>
    <row r="347" spans="1:14" x14ac:dyDescent="0.25">
      <c r="A347" s="18">
        <f t="shared" si="22"/>
        <v>658</v>
      </c>
      <c r="B347" s="24" t="s">
        <v>375</v>
      </c>
      <c r="C347" s="92">
        <v>42847</v>
      </c>
      <c r="D347" s="19" t="str">
        <f t="shared" si="23"/>
        <v>S</v>
      </c>
      <c r="E347" s="19">
        <f t="shared" si="24"/>
        <v>16</v>
      </c>
      <c r="F347" s="18">
        <v>1</v>
      </c>
      <c r="G347" s="18">
        <v>11</v>
      </c>
      <c r="H347" s="18">
        <v>16</v>
      </c>
      <c r="I347" s="18">
        <v>26</v>
      </c>
      <c r="J347" s="18">
        <v>45</v>
      </c>
      <c r="K347" s="18">
        <v>47</v>
      </c>
      <c r="L347" s="18">
        <v>41</v>
      </c>
      <c r="M347" s="18">
        <v>4</v>
      </c>
      <c r="N347" s="18" t="s">
        <v>32</v>
      </c>
    </row>
    <row r="348" spans="1:14" x14ac:dyDescent="0.25">
      <c r="A348" s="18">
        <f t="shared" si="22"/>
        <v>659</v>
      </c>
      <c r="B348" s="24" t="s">
        <v>376</v>
      </c>
      <c r="C348" s="92">
        <v>42852</v>
      </c>
      <c r="D348" s="19" t="str">
        <f t="shared" si="23"/>
        <v>J</v>
      </c>
      <c r="E348" s="19">
        <f t="shared" si="24"/>
        <v>17</v>
      </c>
      <c r="F348" s="18">
        <v>10</v>
      </c>
      <c r="G348" s="18">
        <v>11</v>
      </c>
      <c r="H348" s="18">
        <v>26</v>
      </c>
      <c r="I348" s="18">
        <v>32</v>
      </c>
      <c r="J348" s="18">
        <v>33</v>
      </c>
      <c r="K348" s="18">
        <v>44</v>
      </c>
      <c r="L348" s="18">
        <v>28</v>
      </c>
      <c r="M348" s="18">
        <v>4</v>
      </c>
      <c r="N348" s="18" t="s">
        <v>32</v>
      </c>
    </row>
    <row r="349" spans="1:14" x14ac:dyDescent="0.25">
      <c r="A349" s="18">
        <f t="shared" si="22"/>
        <v>660</v>
      </c>
      <c r="B349" s="24" t="s">
        <v>377</v>
      </c>
      <c r="C349" s="92">
        <v>42854</v>
      </c>
      <c r="D349" s="19" t="str">
        <f t="shared" si="23"/>
        <v>S</v>
      </c>
      <c r="E349" s="19">
        <f t="shared" si="24"/>
        <v>17</v>
      </c>
      <c r="F349" s="18">
        <v>3</v>
      </c>
      <c r="G349" s="18">
        <v>46</v>
      </c>
      <c r="H349" s="18">
        <v>24</v>
      </c>
      <c r="I349" s="18">
        <v>35</v>
      </c>
      <c r="J349" s="18">
        <v>12</v>
      </c>
      <c r="K349" s="18">
        <v>22</v>
      </c>
      <c r="L349" s="18">
        <v>26</v>
      </c>
      <c r="M349" s="18">
        <v>2</v>
      </c>
      <c r="N349" s="18" t="s">
        <v>32</v>
      </c>
    </row>
    <row r="350" spans="1:14" x14ac:dyDescent="0.25">
      <c r="A350" s="18">
        <f t="shared" si="22"/>
        <v>661</v>
      </c>
      <c r="B350" s="24" t="s">
        <v>378</v>
      </c>
      <c r="C350" s="92">
        <v>42859</v>
      </c>
      <c r="D350" s="19" t="str">
        <f t="shared" si="23"/>
        <v>J</v>
      </c>
      <c r="E350" s="19">
        <f t="shared" si="24"/>
        <v>18</v>
      </c>
      <c r="F350" s="18">
        <v>17</v>
      </c>
      <c r="G350" s="18">
        <v>11</v>
      </c>
      <c r="H350" s="18">
        <v>9</v>
      </c>
      <c r="I350" s="18">
        <v>23</v>
      </c>
      <c r="J350" s="18">
        <v>28</v>
      </c>
      <c r="K350" s="18">
        <v>36</v>
      </c>
      <c r="L350" s="18">
        <v>20</v>
      </c>
      <c r="M350" s="18">
        <v>0</v>
      </c>
      <c r="N350" s="18" t="s">
        <v>32</v>
      </c>
    </row>
    <row r="351" spans="1:14" x14ac:dyDescent="0.25">
      <c r="A351" s="18">
        <f t="shared" si="22"/>
        <v>662</v>
      </c>
      <c r="B351" s="24" t="s">
        <v>379</v>
      </c>
      <c r="C351" s="92">
        <v>42861</v>
      </c>
      <c r="D351" s="19" t="str">
        <f t="shared" si="23"/>
        <v>S</v>
      </c>
      <c r="E351" s="19">
        <f t="shared" si="24"/>
        <v>18</v>
      </c>
      <c r="F351" s="18">
        <v>27</v>
      </c>
      <c r="G351" s="18">
        <v>22</v>
      </c>
      <c r="H351" s="18">
        <v>34</v>
      </c>
      <c r="I351" s="18">
        <v>26</v>
      </c>
      <c r="J351" s="18">
        <v>31</v>
      </c>
      <c r="K351" s="18">
        <v>1</v>
      </c>
      <c r="L351" s="18">
        <v>28</v>
      </c>
      <c r="M351" s="18">
        <v>3</v>
      </c>
      <c r="N351" s="18" t="s">
        <v>32</v>
      </c>
    </row>
    <row r="352" spans="1:14" x14ac:dyDescent="0.25">
      <c r="A352" s="18">
        <f t="shared" si="22"/>
        <v>663</v>
      </c>
      <c r="B352" s="24" t="s">
        <v>380</v>
      </c>
      <c r="C352" s="92">
        <v>42866</v>
      </c>
      <c r="D352" s="19" t="str">
        <f t="shared" si="23"/>
        <v>J</v>
      </c>
      <c r="E352" s="19">
        <f t="shared" si="24"/>
        <v>19</v>
      </c>
      <c r="F352" s="18">
        <v>19</v>
      </c>
      <c r="G352" s="18">
        <v>28</v>
      </c>
      <c r="H352" s="18">
        <v>20</v>
      </c>
      <c r="I352" s="18">
        <v>39</v>
      </c>
      <c r="J352" s="18">
        <v>6</v>
      </c>
      <c r="K352" s="18">
        <v>31</v>
      </c>
      <c r="L352" s="18">
        <v>35</v>
      </c>
      <c r="M352" s="18">
        <v>9</v>
      </c>
      <c r="N352" s="18" t="s">
        <v>32</v>
      </c>
    </row>
    <row r="353" spans="1:14" x14ac:dyDescent="0.25">
      <c r="A353" s="18">
        <f t="shared" si="22"/>
        <v>664</v>
      </c>
      <c r="B353" s="24" t="s">
        <v>381</v>
      </c>
      <c r="C353" s="92">
        <v>42868</v>
      </c>
      <c r="D353" s="19" t="str">
        <f t="shared" si="23"/>
        <v>S</v>
      </c>
      <c r="E353" s="19">
        <f t="shared" si="24"/>
        <v>19</v>
      </c>
      <c r="F353" s="18">
        <v>9</v>
      </c>
      <c r="G353" s="18">
        <v>28</v>
      </c>
      <c r="H353" s="18">
        <v>29</v>
      </c>
      <c r="I353" s="18">
        <v>3</v>
      </c>
      <c r="J353" s="18">
        <v>41</v>
      </c>
      <c r="K353" s="18">
        <v>42</v>
      </c>
      <c r="L353" s="18">
        <v>6</v>
      </c>
      <c r="M353" s="18">
        <v>5</v>
      </c>
      <c r="N353" s="18" t="s">
        <v>32</v>
      </c>
    </row>
    <row r="354" spans="1:14" x14ac:dyDescent="0.25">
      <c r="A354" s="18">
        <f t="shared" si="22"/>
        <v>665</v>
      </c>
      <c r="B354" s="24" t="s">
        <v>382</v>
      </c>
      <c r="C354" s="92">
        <v>42873</v>
      </c>
      <c r="D354" s="19" t="str">
        <f t="shared" si="23"/>
        <v>J</v>
      </c>
      <c r="E354" s="19">
        <f t="shared" si="24"/>
        <v>20</v>
      </c>
      <c r="F354" s="18">
        <v>27</v>
      </c>
      <c r="G354" s="18">
        <v>19</v>
      </c>
      <c r="H354" s="18">
        <v>8</v>
      </c>
      <c r="I354" s="18">
        <v>15</v>
      </c>
      <c r="J354" s="18">
        <v>47</v>
      </c>
      <c r="K354" s="18">
        <v>16</v>
      </c>
      <c r="L354" s="18">
        <v>10</v>
      </c>
      <c r="M354" s="18">
        <v>5</v>
      </c>
      <c r="N354" s="18" t="s">
        <v>32</v>
      </c>
    </row>
    <row r="355" spans="1:14" x14ac:dyDescent="0.25">
      <c r="A355" s="18">
        <f t="shared" si="22"/>
        <v>666</v>
      </c>
      <c r="B355" s="24" t="s">
        <v>383</v>
      </c>
      <c r="C355" s="92">
        <v>42875</v>
      </c>
      <c r="D355" s="19" t="str">
        <f t="shared" si="23"/>
        <v>S</v>
      </c>
      <c r="E355" s="19">
        <f t="shared" si="24"/>
        <v>20</v>
      </c>
      <c r="F355" s="18">
        <v>24</v>
      </c>
      <c r="G355" s="18">
        <v>25</v>
      </c>
      <c r="H355" s="18">
        <v>36</v>
      </c>
      <c r="I355" s="18">
        <v>32</v>
      </c>
      <c r="J355" s="18">
        <v>10</v>
      </c>
      <c r="K355" s="18">
        <v>31</v>
      </c>
      <c r="L355" s="18">
        <v>48</v>
      </c>
      <c r="M355" s="18">
        <v>9</v>
      </c>
      <c r="N355" s="18" t="s">
        <v>32</v>
      </c>
    </row>
    <row r="356" spans="1:14" x14ac:dyDescent="0.25">
      <c r="A356" s="18">
        <f t="shared" si="22"/>
        <v>667</v>
      </c>
      <c r="B356" s="24" t="s">
        <v>384</v>
      </c>
      <c r="C356" s="92">
        <v>42880</v>
      </c>
      <c r="D356" s="19" t="str">
        <f t="shared" si="23"/>
        <v>J</v>
      </c>
      <c r="E356" s="19">
        <f t="shared" si="24"/>
        <v>21</v>
      </c>
      <c r="F356" s="18">
        <v>42</v>
      </c>
      <c r="G356" s="18">
        <v>21</v>
      </c>
      <c r="H356" s="18">
        <v>32</v>
      </c>
      <c r="I356" s="18">
        <v>18</v>
      </c>
      <c r="J356" s="18">
        <v>28</v>
      </c>
      <c r="K356" s="18">
        <v>34</v>
      </c>
      <c r="L356" s="18">
        <v>7</v>
      </c>
      <c r="M356" s="18">
        <v>4</v>
      </c>
      <c r="N356" s="18" t="s">
        <v>32</v>
      </c>
    </row>
    <row r="357" spans="1:14" x14ac:dyDescent="0.25">
      <c r="A357" s="18">
        <f t="shared" si="22"/>
        <v>668</v>
      </c>
      <c r="B357" s="24" t="s">
        <v>385</v>
      </c>
      <c r="C357" s="92">
        <v>42882</v>
      </c>
      <c r="D357" s="19" t="str">
        <f t="shared" si="23"/>
        <v>S</v>
      </c>
      <c r="E357" s="19">
        <f t="shared" si="24"/>
        <v>21</v>
      </c>
      <c r="F357" s="18">
        <v>18</v>
      </c>
      <c r="G357" s="18">
        <v>25</v>
      </c>
      <c r="H357" s="18">
        <v>26</v>
      </c>
      <c r="I357" s="18">
        <v>29</v>
      </c>
      <c r="J357" s="18">
        <v>30</v>
      </c>
      <c r="K357" s="18">
        <v>39</v>
      </c>
      <c r="L357" s="18">
        <v>44</v>
      </c>
      <c r="M357" s="18">
        <v>5</v>
      </c>
      <c r="N357" s="18" t="s">
        <v>32</v>
      </c>
    </row>
    <row r="358" spans="1:14" x14ac:dyDescent="0.25">
      <c r="A358" s="18">
        <f t="shared" si="22"/>
        <v>669</v>
      </c>
      <c r="B358" s="24" t="s">
        <v>386</v>
      </c>
      <c r="C358" s="92">
        <v>42887</v>
      </c>
      <c r="D358" s="19" t="str">
        <f t="shared" si="23"/>
        <v>J</v>
      </c>
      <c r="E358" s="19">
        <f t="shared" si="24"/>
        <v>22</v>
      </c>
      <c r="F358" s="18">
        <v>10</v>
      </c>
      <c r="G358" s="18">
        <v>29</v>
      </c>
      <c r="H358" s="18">
        <v>37</v>
      </c>
      <c r="I358" s="18">
        <v>26</v>
      </c>
      <c r="J358" s="18">
        <v>7</v>
      </c>
      <c r="K358" s="18">
        <v>33</v>
      </c>
      <c r="L358" s="18">
        <v>6</v>
      </c>
      <c r="M358" s="18">
        <v>9</v>
      </c>
      <c r="N358" s="18" t="s">
        <v>32</v>
      </c>
    </row>
    <row r="359" spans="1:14" x14ac:dyDescent="0.25">
      <c r="A359" s="18">
        <f t="shared" si="22"/>
        <v>670</v>
      </c>
      <c r="B359" s="24" t="s">
        <v>387</v>
      </c>
      <c r="C359" s="92">
        <v>42889</v>
      </c>
      <c r="D359" s="19" t="str">
        <f t="shared" si="23"/>
        <v>S</v>
      </c>
      <c r="E359" s="19">
        <f t="shared" si="24"/>
        <v>22</v>
      </c>
      <c r="F359" s="18">
        <v>9</v>
      </c>
      <c r="G359" s="18">
        <v>13</v>
      </c>
      <c r="H359" s="18">
        <v>12</v>
      </c>
      <c r="I359" s="18">
        <v>22</v>
      </c>
      <c r="J359" s="18">
        <v>23</v>
      </c>
      <c r="K359" s="18">
        <v>43</v>
      </c>
      <c r="L359" s="18">
        <v>40</v>
      </c>
      <c r="M359" s="18">
        <v>9</v>
      </c>
      <c r="N359" s="18" t="s">
        <v>32</v>
      </c>
    </row>
    <row r="360" spans="1:14" x14ac:dyDescent="0.25">
      <c r="A360" s="18">
        <f t="shared" si="22"/>
        <v>671</v>
      </c>
      <c r="B360" s="24" t="s">
        <v>388</v>
      </c>
      <c r="C360" s="92">
        <v>42894</v>
      </c>
      <c r="D360" s="19" t="str">
        <f t="shared" si="23"/>
        <v>J</v>
      </c>
      <c r="E360" s="19">
        <f t="shared" si="24"/>
        <v>23</v>
      </c>
      <c r="F360" s="18">
        <v>34</v>
      </c>
      <c r="G360" s="18">
        <v>19</v>
      </c>
      <c r="H360" s="18">
        <v>20</v>
      </c>
      <c r="I360" s="18">
        <v>25</v>
      </c>
      <c r="J360" s="18">
        <v>32</v>
      </c>
      <c r="K360" s="18">
        <v>33</v>
      </c>
      <c r="L360" s="18">
        <v>24</v>
      </c>
      <c r="M360" s="18">
        <v>4</v>
      </c>
      <c r="N360" s="18" t="s">
        <v>32</v>
      </c>
    </row>
    <row r="361" spans="1:14" x14ac:dyDescent="0.25">
      <c r="A361" s="18">
        <f t="shared" si="22"/>
        <v>672</v>
      </c>
      <c r="B361" s="24" t="s">
        <v>389</v>
      </c>
      <c r="C361" s="92">
        <v>42896</v>
      </c>
      <c r="D361" s="19" t="str">
        <f t="shared" si="23"/>
        <v>S</v>
      </c>
      <c r="E361" s="19">
        <f t="shared" si="24"/>
        <v>23</v>
      </c>
      <c r="F361" s="18">
        <v>19</v>
      </c>
      <c r="G361" s="18">
        <v>29</v>
      </c>
      <c r="H361" s="18">
        <v>22</v>
      </c>
      <c r="I361" s="18">
        <v>35</v>
      </c>
      <c r="J361" s="18">
        <v>45</v>
      </c>
      <c r="K361" s="18">
        <v>18</v>
      </c>
      <c r="L361" s="18">
        <v>4</v>
      </c>
      <c r="M361" s="18">
        <v>8</v>
      </c>
      <c r="N361" s="18" t="s">
        <v>32</v>
      </c>
    </row>
    <row r="362" spans="1:14" x14ac:dyDescent="0.25">
      <c r="A362" s="18">
        <f t="shared" si="22"/>
        <v>673</v>
      </c>
      <c r="B362" s="24" t="s">
        <v>390</v>
      </c>
      <c r="C362" s="92">
        <v>42901</v>
      </c>
      <c r="D362" s="19" t="str">
        <f t="shared" si="23"/>
        <v>J</v>
      </c>
      <c r="E362" s="19">
        <f t="shared" si="24"/>
        <v>24</v>
      </c>
      <c r="F362" s="18">
        <v>20</v>
      </c>
      <c r="G362" s="18">
        <v>7</v>
      </c>
      <c r="H362" s="18">
        <v>11</v>
      </c>
      <c r="I362" s="18">
        <v>30</v>
      </c>
      <c r="J362" s="18">
        <v>3</v>
      </c>
      <c r="K362" s="18">
        <v>22</v>
      </c>
      <c r="L362" s="18">
        <v>41</v>
      </c>
      <c r="M362" s="18">
        <v>9</v>
      </c>
      <c r="N362" s="18" t="s">
        <v>32</v>
      </c>
    </row>
    <row r="363" spans="1:14" x14ac:dyDescent="0.25">
      <c r="A363" s="18">
        <f t="shared" si="22"/>
        <v>674</v>
      </c>
      <c r="B363" s="24" t="s">
        <v>391</v>
      </c>
      <c r="C363" s="92">
        <v>42903</v>
      </c>
      <c r="D363" s="19" t="str">
        <f t="shared" si="23"/>
        <v>S</v>
      </c>
      <c r="E363" s="19">
        <f t="shared" si="24"/>
        <v>24</v>
      </c>
      <c r="F363" s="18">
        <v>3</v>
      </c>
      <c r="G363" s="18">
        <v>21</v>
      </c>
      <c r="H363" s="18">
        <v>43</v>
      </c>
      <c r="I363" s="18">
        <v>16</v>
      </c>
      <c r="J363" s="18">
        <v>13</v>
      </c>
      <c r="K363" s="18">
        <v>28</v>
      </c>
      <c r="L363" s="18">
        <v>24</v>
      </c>
      <c r="M363" s="18">
        <v>2</v>
      </c>
      <c r="N363" s="18" t="s">
        <v>32</v>
      </c>
    </row>
    <row r="364" spans="1:14" x14ac:dyDescent="0.25">
      <c r="A364" s="18">
        <f t="shared" si="22"/>
        <v>675</v>
      </c>
      <c r="B364" s="24" t="s">
        <v>392</v>
      </c>
      <c r="C364" s="92">
        <v>42908</v>
      </c>
      <c r="D364" s="19" t="str">
        <f t="shared" si="23"/>
        <v>J</v>
      </c>
      <c r="E364" s="19">
        <f t="shared" si="24"/>
        <v>25</v>
      </c>
      <c r="F364" s="18">
        <v>37</v>
      </c>
      <c r="G364" s="18">
        <v>15</v>
      </c>
      <c r="H364" s="18">
        <v>30</v>
      </c>
      <c r="I364" s="18">
        <v>38</v>
      </c>
      <c r="J364" s="18">
        <v>3</v>
      </c>
      <c r="K364" s="18">
        <v>41</v>
      </c>
      <c r="L364" s="18">
        <v>8</v>
      </c>
      <c r="M364" s="18">
        <v>0</v>
      </c>
      <c r="N364" s="18" t="s">
        <v>32</v>
      </c>
    </row>
    <row r="365" spans="1:14" x14ac:dyDescent="0.25">
      <c r="A365" s="18">
        <f t="shared" si="22"/>
        <v>676</v>
      </c>
      <c r="B365" s="24" t="s">
        <v>393</v>
      </c>
      <c r="C365" s="92">
        <v>42910</v>
      </c>
      <c r="D365" s="19" t="str">
        <f t="shared" si="23"/>
        <v>S</v>
      </c>
      <c r="E365" s="19">
        <f t="shared" si="24"/>
        <v>25</v>
      </c>
      <c r="F365" s="18">
        <v>14</v>
      </c>
      <c r="G365" s="18">
        <v>30</v>
      </c>
      <c r="H365" s="18">
        <v>40</v>
      </c>
      <c r="I365" s="18">
        <v>21</v>
      </c>
      <c r="J365" s="18">
        <v>11</v>
      </c>
      <c r="K365" s="18">
        <v>39</v>
      </c>
      <c r="L365" s="18">
        <v>29</v>
      </c>
      <c r="M365" s="18">
        <v>7</v>
      </c>
      <c r="N365" s="18" t="s">
        <v>32</v>
      </c>
    </row>
    <row r="366" spans="1:14" x14ac:dyDescent="0.25">
      <c r="A366" s="18">
        <f t="shared" si="22"/>
        <v>677</v>
      </c>
      <c r="B366" s="24" t="s">
        <v>394</v>
      </c>
      <c r="C366" s="92">
        <v>42915</v>
      </c>
      <c r="D366" s="19" t="str">
        <f t="shared" si="23"/>
        <v>J</v>
      </c>
      <c r="E366" s="19">
        <f t="shared" si="24"/>
        <v>26</v>
      </c>
      <c r="F366" s="18">
        <v>49</v>
      </c>
      <c r="G366" s="18">
        <v>35</v>
      </c>
      <c r="H366" s="18">
        <v>20</v>
      </c>
      <c r="I366" s="18">
        <v>40</v>
      </c>
      <c r="J366" s="18">
        <v>1</v>
      </c>
      <c r="K366" s="18">
        <v>11</v>
      </c>
      <c r="L366" s="18">
        <v>16</v>
      </c>
      <c r="M366" s="18">
        <v>0</v>
      </c>
      <c r="N366" s="18" t="s">
        <v>32</v>
      </c>
    </row>
    <row r="367" spans="1:14" x14ac:dyDescent="0.25">
      <c r="A367" s="18">
        <f t="shared" si="22"/>
        <v>678</v>
      </c>
      <c r="B367" s="24" t="s">
        <v>395</v>
      </c>
      <c r="C367" s="92">
        <v>42917</v>
      </c>
      <c r="D367" s="19" t="str">
        <f t="shared" si="23"/>
        <v>S</v>
      </c>
      <c r="E367" s="19">
        <f t="shared" si="24"/>
        <v>26</v>
      </c>
      <c r="F367" s="18">
        <v>26</v>
      </c>
      <c r="G367" s="18">
        <v>22</v>
      </c>
      <c r="H367" s="18">
        <v>30</v>
      </c>
      <c r="I367" s="18">
        <v>27</v>
      </c>
      <c r="J367" s="18">
        <v>31</v>
      </c>
      <c r="K367" s="18">
        <v>12</v>
      </c>
      <c r="L367" s="18">
        <v>29</v>
      </c>
      <c r="M367" s="18">
        <v>2</v>
      </c>
      <c r="N367" s="18" t="s">
        <v>32</v>
      </c>
    </row>
    <row r="368" spans="1:14" x14ac:dyDescent="0.25">
      <c r="A368" s="18">
        <f t="shared" si="22"/>
        <v>679</v>
      </c>
      <c r="B368" s="24" t="s">
        <v>396</v>
      </c>
      <c r="C368" s="92">
        <v>42922</v>
      </c>
      <c r="D368" s="19" t="str">
        <f t="shared" si="23"/>
        <v>J</v>
      </c>
      <c r="E368" s="19">
        <f t="shared" si="24"/>
        <v>27</v>
      </c>
      <c r="F368" s="18">
        <v>29</v>
      </c>
      <c r="G368" s="18">
        <v>20</v>
      </c>
      <c r="H368" s="18">
        <v>3</v>
      </c>
      <c r="I368" s="18">
        <v>9</v>
      </c>
      <c r="J368" s="18">
        <v>49</v>
      </c>
      <c r="K368" s="18">
        <v>5</v>
      </c>
      <c r="L368" s="18">
        <v>46</v>
      </c>
      <c r="M368" s="18">
        <v>1</v>
      </c>
      <c r="N368" s="18" t="s">
        <v>32</v>
      </c>
    </row>
    <row r="369" spans="1:14" x14ac:dyDescent="0.25">
      <c r="A369" s="18">
        <f t="shared" si="22"/>
        <v>680</v>
      </c>
      <c r="B369" s="24" t="s">
        <v>397</v>
      </c>
      <c r="C369" s="92">
        <v>42924</v>
      </c>
      <c r="D369" s="19" t="str">
        <f t="shared" si="23"/>
        <v>S</v>
      </c>
      <c r="E369" s="19">
        <f t="shared" si="24"/>
        <v>27</v>
      </c>
      <c r="F369" s="18">
        <v>3</v>
      </c>
      <c r="G369" s="18">
        <v>16</v>
      </c>
      <c r="H369" s="18">
        <v>21</v>
      </c>
      <c r="I369" s="18">
        <v>25</v>
      </c>
      <c r="J369" s="18">
        <v>26</v>
      </c>
      <c r="K369" s="18">
        <v>39</v>
      </c>
      <c r="L369" s="18">
        <v>48</v>
      </c>
      <c r="M369" s="18">
        <v>3</v>
      </c>
      <c r="N369" s="18" t="s">
        <v>32</v>
      </c>
    </row>
    <row r="370" spans="1:14" x14ac:dyDescent="0.25">
      <c r="A370" s="18">
        <f t="shared" si="22"/>
        <v>681</v>
      </c>
      <c r="B370" s="24" t="s">
        <v>398</v>
      </c>
      <c r="C370" s="92">
        <v>42929</v>
      </c>
      <c r="D370" s="19" t="str">
        <f t="shared" si="23"/>
        <v>J</v>
      </c>
      <c r="E370" s="19">
        <f t="shared" si="24"/>
        <v>28</v>
      </c>
      <c r="F370" s="18">
        <v>40</v>
      </c>
      <c r="G370" s="18">
        <v>27</v>
      </c>
      <c r="H370" s="18">
        <v>6</v>
      </c>
      <c r="I370" s="18">
        <v>8</v>
      </c>
      <c r="J370" s="18">
        <v>12</v>
      </c>
      <c r="K370" s="18">
        <v>1</v>
      </c>
      <c r="L370" s="18">
        <v>42</v>
      </c>
      <c r="M370" s="18">
        <v>7</v>
      </c>
      <c r="N370" s="18" t="s">
        <v>32</v>
      </c>
    </row>
    <row r="371" spans="1:14" x14ac:dyDescent="0.25">
      <c r="A371" s="18">
        <f t="shared" si="22"/>
        <v>682</v>
      </c>
      <c r="B371" s="24" t="s">
        <v>399</v>
      </c>
      <c r="C371" s="92">
        <v>42931</v>
      </c>
      <c r="D371" s="19" t="str">
        <f t="shared" si="23"/>
        <v>S</v>
      </c>
      <c r="E371" s="19">
        <f t="shared" si="24"/>
        <v>28</v>
      </c>
      <c r="F371" s="18">
        <v>23</v>
      </c>
      <c r="G371" s="18">
        <v>46</v>
      </c>
      <c r="H371" s="18">
        <v>42</v>
      </c>
      <c r="I371" s="18">
        <v>47</v>
      </c>
      <c r="J371" s="18">
        <v>32</v>
      </c>
      <c r="K371" s="18">
        <v>11</v>
      </c>
      <c r="L371" s="18">
        <v>8</v>
      </c>
      <c r="M371" s="18">
        <v>1</v>
      </c>
      <c r="N371" s="18" t="s">
        <v>32</v>
      </c>
    </row>
    <row r="372" spans="1:14" x14ac:dyDescent="0.25">
      <c r="A372" s="18">
        <f t="shared" si="22"/>
        <v>683</v>
      </c>
      <c r="B372" s="22" t="s">
        <v>400</v>
      </c>
      <c r="C372" s="92">
        <v>42936</v>
      </c>
      <c r="D372" s="19" t="str">
        <f t="shared" si="23"/>
        <v>J</v>
      </c>
      <c r="E372" s="19">
        <f t="shared" si="24"/>
        <v>29</v>
      </c>
      <c r="F372" s="18">
        <v>5</v>
      </c>
      <c r="G372" s="18">
        <v>46</v>
      </c>
      <c r="H372" s="18">
        <v>43</v>
      </c>
      <c r="I372" s="18">
        <v>35</v>
      </c>
      <c r="J372" s="18">
        <v>3</v>
      </c>
      <c r="K372" s="18">
        <v>22</v>
      </c>
      <c r="L372" s="18">
        <v>41</v>
      </c>
      <c r="M372" s="18">
        <v>5</v>
      </c>
      <c r="N372" s="18" t="s">
        <v>32</v>
      </c>
    </row>
    <row r="373" spans="1:14" x14ac:dyDescent="0.25">
      <c r="A373" s="18">
        <f t="shared" si="22"/>
        <v>684</v>
      </c>
      <c r="B373" s="22" t="s">
        <v>401</v>
      </c>
      <c r="C373" s="92">
        <v>42938</v>
      </c>
      <c r="D373" s="19" t="str">
        <f t="shared" si="23"/>
        <v>S</v>
      </c>
      <c r="E373" s="19">
        <f t="shared" si="24"/>
        <v>29</v>
      </c>
      <c r="F373" s="18">
        <v>37</v>
      </c>
      <c r="G373" s="18">
        <v>38</v>
      </c>
      <c r="H373" s="18">
        <v>27</v>
      </c>
      <c r="I373" s="18">
        <v>40</v>
      </c>
      <c r="J373" s="18">
        <v>21</v>
      </c>
      <c r="K373" s="18">
        <v>18</v>
      </c>
      <c r="L373" s="18">
        <v>20</v>
      </c>
      <c r="M373" s="18">
        <v>1</v>
      </c>
      <c r="N373" s="18" t="s">
        <v>32</v>
      </c>
    </row>
    <row r="374" spans="1:14" x14ac:dyDescent="0.25">
      <c r="A374" s="18">
        <f t="shared" si="22"/>
        <v>685</v>
      </c>
      <c r="B374" s="22" t="s">
        <v>402</v>
      </c>
      <c r="C374" s="92">
        <v>42943</v>
      </c>
      <c r="D374" s="19" t="str">
        <f t="shared" si="23"/>
        <v>J</v>
      </c>
      <c r="E374" s="19">
        <f t="shared" si="24"/>
        <v>30</v>
      </c>
      <c r="F374" s="18">
        <v>2</v>
      </c>
      <c r="G374" s="18">
        <v>1</v>
      </c>
      <c r="H374" s="18">
        <v>27</v>
      </c>
      <c r="I374" s="18">
        <v>49</v>
      </c>
      <c r="J374" s="18">
        <v>39</v>
      </c>
      <c r="K374" s="18">
        <v>5</v>
      </c>
      <c r="L374" s="18">
        <v>40</v>
      </c>
      <c r="M374" s="18">
        <v>5</v>
      </c>
      <c r="N374" s="18" t="s">
        <v>32</v>
      </c>
    </row>
    <row r="375" spans="1:14" x14ac:dyDescent="0.25">
      <c r="A375" s="18">
        <f t="shared" si="22"/>
        <v>686</v>
      </c>
      <c r="B375" s="22" t="s">
        <v>403</v>
      </c>
      <c r="C375" s="92">
        <v>42945</v>
      </c>
      <c r="D375" s="19" t="str">
        <f t="shared" si="23"/>
        <v>S</v>
      </c>
      <c r="E375" s="19">
        <f t="shared" si="24"/>
        <v>30</v>
      </c>
      <c r="F375" s="18">
        <v>20</v>
      </c>
      <c r="G375" s="18">
        <v>43</v>
      </c>
      <c r="H375" s="18">
        <v>47</v>
      </c>
      <c r="I375" s="18">
        <v>35</v>
      </c>
      <c r="J375" s="18">
        <v>23</v>
      </c>
      <c r="K375" s="18">
        <v>44</v>
      </c>
      <c r="L375" s="18">
        <v>16</v>
      </c>
      <c r="M375" s="18">
        <v>5</v>
      </c>
      <c r="N375" s="18" t="s">
        <v>32</v>
      </c>
    </row>
    <row r="376" spans="1:14" x14ac:dyDescent="0.25">
      <c r="A376" s="18">
        <f t="shared" si="22"/>
        <v>687</v>
      </c>
      <c r="B376" s="22" t="s">
        <v>404</v>
      </c>
      <c r="C376" s="92">
        <v>42950</v>
      </c>
      <c r="D376" s="19" t="str">
        <f t="shared" si="23"/>
        <v>J</v>
      </c>
      <c r="E376" s="19">
        <f t="shared" si="24"/>
        <v>31</v>
      </c>
      <c r="F376" s="18">
        <v>27</v>
      </c>
      <c r="G376" s="18">
        <v>34</v>
      </c>
      <c r="H376" s="18">
        <v>13</v>
      </c>
      <c r="I376" s="18">
        <v>17</v>
      </c>
      <c r="J376" s="18">
        <v>20</v>
      </c>
      <c r="K376" s="18">
        <v>33</v>
      </c>
      <c r="L376" s="18">
        <v>31</v>
      </c>
      <c r="M376" s="18">
        <v>6</v>
      </c>
      <c r="N376" s="18" t="s">
        <v>32</v>
      </c>
    </row>
    <row r="377" spans="1:14" x14ac:dyDescent="0.25">
      <c r="A377" s="18">
        <f t="shared" si="22"/>
        <v>688</v>
      </c>
      <c r="B377" s="22" t="s">
        <v>405</v>
      </c>
      <c r="C377" s="92">
        <v>42952</v>
      </c>
      <c r="D377" s="19" t="str">
        <f t="shared" si="23"/>
        <v>S</v>
      </c>
      <c r="E377" s="19">
        <f t="shared" si="24"/>
        <v>31</v>
      </c>
      <c r="F377" s="18">
        <v>26</v>
      </c>
      <c r="G377" s="18">
        <v>10</v>
      </c>
      <c r="H377" s="18">
        <v>44</v>
      </c>
      <c r="I377" s="18">
        <v>49</v>
      </c>
      <c r="J377" s="18">
        <v>17</v>
      </c>
      <c r="K377" s="18">
        <v>6</v>
      </c>
      <c r="L377" s="18">
        <v>21</v>
      </c>
      <c r="M377" s="18">
        <v>3</v>
      </c>
      <c r="N377" s="18" t="s">
        <v>32</v>
      </c>
    </row>
    <row r="378" spans="1:14" x14ac:dyDescent="0.25">
      <c r="A378" s="18">
        <f t="shared" si="22"/>
        <v>689</v>
      </c>
      <c r="B378" s="22" t="s">
        <v>406</v>
      </c>
      <c r="C378" s="92">
        <v>42957</v>
      </c>
      <c r="D378" s="19" t="str">
        <f t="shared" si="23"/>
        <v>J</v>
      </c>
      <c r="E378" s="19">
        <f t="shared" si="24"/>
        <v>32</v>
      </c>
      <c r="F378" s="18">
        <v>20</v>
      </c>
      <c r="G378" s="18">
        <v>26</v>
      </c>
      <c r="H378" s="18">
        <v>6</v>
      </c>
      <c r="I378" s="18">
        <v>45</v>
      </c>
      <c r="J378" s="18">
        <v>38</v>
      </c>
      <c r="K378" s="18">
        <v>9</v>
      </c>
      <c r="L378" s="18">
        <v>33</v>
      </c>
      <c r="M378" s="18">
        <v>9</v>
      </c>
      <c r="N378" s="18" t="s">
        <v>32</v>
      </c>
    </row>
    <row r="379" spans="1:14" x14ac:dyDescent="0.25">
      <c r="A379" s="18">
        <f t="shared" si="22"/>
        <v>690</v>
      </c>
      <c r="B379" s="22" t="s">
        <v>407</v>
      </c>
      <c r="C379" s="92">
        <v>42959</v>
      </c>
      <c r="D379" s="19" t="str">
        <f t="shared" si="23"/>
        <v>S</v>
      </c>
      <c r="E379" s="19">
        <f t="shared" si="24"/>
        <v>32</v>
      </c>
      <c r="F379" s="19">
        <v>25</v>
      </c>
      <c r="G379" s="18">
        <v>17</v>
      </c>
      <c r="H379" s="18">
        <v>9</v>
      </c>
      <c r="I379" s="18">
        <v>46</v>
      </c>
      <c r="J379" s="18">
        <v>19</v>
      </c>
      <c r="K379" s="18">
        <v>29</v>
      </c>
      <c r="L379" s="18">
        <v>40</v>
      </c>
      <c r="M379" s="18">
        <v>7</v>
      </c>
      <c r="N379" s="18" t="s">
        <v>32</v>
      </c>
    </row>
    <row r="380" spans="1:14" x14ac:dyDescent="0.25">
      <c r="A380" s="18">
        <f t="shared" si="22"/>
        <v>691</v>
      </c>
      <c r="B380" s="22" t="s">
        <v>408</v>
      </c>
      <c r="C380" s="92">
        <v>42964</v>
      </c>
      <c r="D380" s="19" t="str">
        <f t="shared" si="23"/>
        <v>J</v>
      </c>
      <c r="E380" s="19">
        <f t="shared" si="24"/>
        <v>33</v>
      </c>
      <c r="F380" s="18">
        <v>8</v>
      </c>
      <c r="G380" s="18">
        <v>45</v>
      </c>
      <c r="H380" s="18">
        <v>48</v>
      </c>
      <c r="I380" s="18">
        <v>19</v>
      </c>
      <c r="J380" s="18">
        <v>17</v>
      </c>
      <c r="K380" s="18">
        <v>49</v>
      </c>
      <c r="L380" s="18">
        <v>43</v>
      </c>
      <c r="M380" s="18">
        <v>2</v>
      </c>
      <c r="N380" s="18" t="s">
        <v>32</v>
      </c>
    </row>
    <row r="381" spans="1:14" x14ac:dyDescent="0.25">
      <c r="A381" s="18">
        <f t="shared" si="22"/>
        <v>692</v>
      </c>
      <c r="B381" s="22" t="s">
        <v>409</v>
      </c>
      <c r="C381" s="92">
        <v>42966</v>
      </c>
      <c r="D381" s="19" t="str">
        <f t="shared" si="23"/>
        <v>S</v>
      </c>
      <c r="E381" s="19">
        <f t="shared" si="24"/>
        <v>33</v>
      </c>
      <c r="F381" s="18">
        <v>17</v>
      </c>
      <c r="G381" s="18">
        <v>35</v>
      </c>
      <c r="H381" s="18">
        <v>2</v>
      </c>
      <c r="I381" s="18">
        <v>43</v>
      </c>
      <c r="J381" s="18">
        <v>48</v>
      </c>
      <c r="K381" s="18">
        <v>37</v>
      </c>
      <c r="L381" s="18">
        <v>34</v>
      </c>
      <c r="M381" s="18">
        <v>7</v>
      </c>
      <c r="N381" s="18" t="s">
        <v>32</v>
      </c>
    </row>
    <row r="382" spans="1:14" x14ac:dyDescent="0.25">
      <c r="A382" s="18">
        <f t="shared" si="22"/>
        <v>693</v>
      </c>
      <c r="B382" s="22" t="s">
        <v>410</v>
      </c>
      <c r="C382" s="92">
        <v>42971</v>
      </c>
      <c r="D382" s="19" t="str">
        <f t="shared" si="23"/>
        <v>J</v>
      </c>
      <c r="E382" s="19">
        <f t="shared" si="24"/>
        <v>34</v>
      </c>
      <c r="F382" s="18">
        <v>7</v>
      </c>
      <c r="G382" s="18">
        <v>35</v>
      </c>
      <c r="H382" s="18">
        <v>40</v>
      </c>
      <c r="I382" s="18">
        <v>38</v>
      </c>
      <c r="J382" s="18">
        <v>10</v>
      </c>
      <c r="K382" s="18">
        <v>12</v>
      </c>
      <c r="L382" s="18">
        <v>49</v>
      </c>
      <c r="M382" s="18">
        <v>1</v>
      </c>
      <c r="N382" s="18" t="s">
        <v>32</v>
      </c>
    </row>
    <row r="383" spans="1:14" x14ac:dyDescent="0.25">
      <c r="A383" s="18">
        <f t="shared" si="22"/>
        <v>694</v>
      </c>
      <c r="B383" s="22" t="s">
        <v>411</v>
      </c>
      <c r="C383" s="92">
        <v>42973</v>
      </c>
      <c r="D383" s="19" t="str">
        <f t="shared" si="23"/>
        <v>S</v>
      </c>
      <c r="E383" s="19">
        <f t="shared" si="24"/>
        <v>34</v>
      </c>
      <c r="F383" s="18">
        <v>23</v>
      </c>
      <c r="G383" s="18">
        <v>28</v>
      </c>
      <c r="H383" s="18">
        <v>7</v>
      </c>
      <c r="I383" s="18">
        <v>42</v>
      </c>
      <c r="J383" s="18">
        <v>49</v>
      </c>
      <c r="K383" s="18">
        <v>19</v>
      </c>
      <c r="L383" s="18">
        <v>16</v>
      </c>
      <c r="M383" s="18">
        <v>4</v>
      </c>
      <c r="N383" s="18" t="s">
        <v>32</v>
      </c>
    </row>
    <row r="384" spans="1:14" x14ac:dyDescent="0.25">
      <c r="A384" s="18">
        <f t="shared" si="22"/>
        <v>695</v>
      </c>
      <c r="B384" s="22" t="s">
        <v>412</v>
      </c>
      <c r="C384" s="92">
        <v>42978</v>
      </c>
      <c r="D384" s="19" t="str">
        <f t="shared" si="23"/>
        <v>J</v>
      </c>
      <c r="E384" s="19">
        <f t="shared" si="24"/>
        <v>35</v>
      </c>
      <c r="F384" s="18">
        <v>4</v>
      </c>
      <c r="G384" s="18">
        <v>41</v>
      </c>
      <c r="H384" s="18">
        <v>20</v>
      </c>
      <c r="I384" s="18">
        <v>35</v>
      </c>
      <c r="J384" s="18">
        <v>15</v>
      </c>
      <c r="K384" s="18">
        <v>39</v>
      </c>
      <c r="L384" s="18">
        <v>30</v>
      </c>
      <c r="M384" s="18">
        <v>6</v>
      </c>
      <c r="N384" s="18" t="s">
        <v>32</v>
      </c>
    </row>
    <row r="385" spans="1:14" x14ac:dyDescent="0.25">
      <c r="A385" s="18">
        <f t="shared" si="22"/>
        <v>696</v>
      </c>
      <c r="B385" s="22" t="s">
        <v>413</v>
      </c>
      <c r="C385" s="92">
        <v>42980</v>
      </c>
      <c r="D385" s="19" t="str">
        <f t="shared" si="23"/>
        <v>S</v>
      </c>
      <c r="E385" s="19">
        <f t="shared" si="24"/>
        <v>35</v>
      </c>
      <c r="F385" s="18">
        <v>37</v>
      </c>
      <c r="G385" s="18">
        <v>4</v>
      </c>
      <c r="H385" s="18">
        <v>1</v>
      </c>
      <c r="I385" s="18">
        <v>40</v>
      </c>
      <c r="J385" s="18">
        <v>18</v>
      </c>
      <c r="K385" s="18">
        <v>49</v>
      </c>
      <c r="L385" s="18">
        <v>3</v>
      </c>
      <c r="M385" s="18">
        <v>9</v>
      </c>
      <c r="N385" s="18" t="s">
        <v>32</v>
      </c>
    </row>
    <row r="386" spans="1:14" x14ac:dyDescent="0.25">
      <c r="A386" s="18">
        <f t="shared" si="22"/>
        <v>697</v>
      </c>
      <c r="B386" s="22" t="s">
        <v>414</v>
      </c>
      <c r="C386" s="92">
        <v>42985</v>
      </c>
      <c r="D386" s="19" t="str">
        <f t="shared" si="23"/>
        <v>J</v>
      </c>
      <c r="E386" s="19">
        <f t="shared" si="24"/>
        <v>36</v>
      </c>
      <c r="F386" s="18">
        <v>14</v>
      </c>
      <c r="G386" s="18">
        <v>26</v>
      </c>
      <c r="H386" s="18">
        <v>1</v>
      </c>
      <c r="I386" s="18">
        <v>18</v>
      </c>
      <c r="J386" s="18">
        <v>37</v>
      </c>
      <c r="K386" s="18">
        <v>19</v>
      </c>
      <c r="L386" s="18">
        <v>34</v>
      </c>
      <c r="M386" s="18">
        <v>9</v>
      </c>
      <c r="N386" s="18" t="s">
        <v>32</v>
      </c>
    </row>
    <row r="387" spans="1:14" x14ac:dyDescent="0.25">
      <c r="A387" s="18">
        <f t="shared" si="22"/>
        <v>698</v>
      </c>
      <c r="B387" s="22" t="s">
        <v>415</v>
      </c>
      <c r="C387" s="92">
        <v>42987</v>
      </c>
      <c r="D387" s="19" t="str">
        <f t="shared" si="23"/>
        <v>S</v>
      </c>
      <c r="E387" s="19">
        <f t="shared" si="24"/>
        <v>36</v>
      </c>
      <c r="F387" s="18">
        <v>10</v>
      </c>
      <c r="G387" s="18">
        <v>20</v>
      </c>
      <c r="H387" s="18">
        <v>44</v>
      </c>
      <c r="I387" s="18">
        <v>21</v>
      </c>
      <c r="J387" s="18">
        <v>37</v>
      </c>
      <c r="K387" s="18">
        <v>1</v>
      </c>
      <c r="L387" s="18">
        <v>23</v>
      </c>
      <c r="M387" s="18">
        <v>9</v>
      </c>
      <c r="N387" s="18" t="s">
        <v>32</v>
      </c>
    </row>
    <row r="388" spans="1:14" x14ac:dyDescent="0.25">
      <c r="A388" s="18">
        <f t="shared" ref="A388:A451" si="25">+A387+1</f>
        <v>699</v>
      </c>
      <c r="B388" s="22" t="s">
        <v>416</v>
      </c>
      <c r="C388" s="92">
        <v>42992</v>
      </c>
      <c r="D388" s="19" t="str">
        <f t="shared" si="23"/>
        <v>J</v>
      </c>
      <c r="E388" s="19">
        <f t="shared" si="24"/>
        <v>37</v>
      </c>
      <c r="F388" s="18">
        <v>7</v>
      </c>
      <c r="G388" s="18">
        <v>18</v>
      </c>
      <c r="H388" s="18">
        <v>16</v>
      </c>
      <c r="I388" s="18">
        <v>36</v>
      </c>
      <c r="J388" s="18">
        <v>4</v>
      </c>
      <c r="K388" s="18">
        <v>23</v>
      </c>
      <c r="L388" s="18">
        <v>26</v>
      </c>
      <c r="M388" s="18">
        <v>1</v>
      </c>
      <c r="N388" s="18" t="s">
        <v>32</v>
      </c>
    </row>
    <row r="389" spans="1:14" x14ac:dyDescent="0.25">
      <c r="A389" s="18">
        <f t="shared" si="25"/>
        <v>700</v>
      </c>
      <c r="B389" s="22" t="s">
        <v>417</v>
      </c>
      <c r="C389" s="92">
        <v>42994</v>
      </c>
      <c r="D389" s="19" t="str">
        <f t="shared" si="23"/>
        <v>S</v>
      </c>
      <c r="E389" s="19">
        <f t="shared" si="24"/>
        <v>37</v>
      </c>
      <c r="F389" s="18">
        <v>10</v>
      </c>
      <c r="G389" s="18">
        <v>1</v>
      </c>
      <c r="H389" s="18">
        <v>44</v>
      </c>
      <c r="I389" s="18">
        <v>25</v>
      </c>
      <c r="J389" s="18">
        <v>7</v>
      </c>
      <c r="K389" s="18">
        <v>5</v>
      </c>
      <c r="L389" s="18">
        <v>4</v>
      </c>
      <c r="M389" s="18">
        <v>6</v>
      </c>
      <c r="N389" s="18" t="s">
        <v>32</v>
      </c>
    </row>
    <row r="390" spans="1:14" x14ac:dyDescent="0.25">
      <c r="A390" s="18">
        <f t="shared" si="25"/>
        <v>701</v>
      </c>
      <c r="B390" s="22" t="s">
        <v>418</v>
      </c>
      <c r="C390" s="92">
        <v>42999</v>
      </c>
      <c r="D390" s="19" t="str">
        <f t="shared" si="23"/>
        <v>J</v>
      </c>
      <c r="E390" s="19">
        <f t="shared" si="24"/>
        <v>38</v>
      </c>
      <c r="F390" s="18">
        <v>20</v>
      </c>
      <c r="G390" s="18">
        <v>23</v>
      </c>
      <c r="H390" s="18">
        <v>48</v>
      </c>
      <c r="I390" s="18">
        <v>14</v>
      </c>
      <c r="J390" s="18">
        <v>26</v>
      </c>
      <c r="K390" s="18">
        <v>15</v>
      </c>
      <c r="L390" s="18">
        <v>10</v>
      </c>
      <c r="M390" s="18">
        <v>1</v>
      </c>
      <c r="N390" s="18" t="s">
        <v>32</v>
      </c>
    </row>
    <row r="391" spans="1:14" x14ac:dyDescent="0.25">
      <c r="A391" s="18">
        <f t="shared" si="25"/>
        <v>702</v>
      </c>
      <c r="B391" s="22" t="s">
        <v>419</v>
      </c>
      <c r="C391" s="92">
        <v>43001</v>
      </c>
      <c r="D391" s="19" t="str">
        <f t="shared" si="23"/>
        <v>S</v>
      </c>
      <c r="E391" s="19">
        <f t="shared" si="24"/>
        <v>38</v>
      </c>
      <c r="F391" s="18">
        <v>37</v>
      </c>
      <c r="G391" s="18">
        <v>15</v>
      </c>
      <c r="H391" s="18">
        <v>41</v>
      </c>
      <c r="I391" s="18">
        <v>18</v>
      </c>
      <c r="J391" s="18">
        <v>23</v>
      </c>
      <c r="K391" s="18">
        <v>9</v>
      </c>
      <c r="L391" s="18">
        <v>43</v>
      </c>
      <c r="M391" s="18">
        <v>7</v>
      </c>
      <c r="N391" s="18" t="s">
        <v>32</v>
      </c>
    </row>
    <row r="392" spans="1:14" x14ac:dyDescent="0.25">
      <c r="A392" s="18">
        <f t="shared" si="25"/>
        <v>703</v>
      </c>
      <c r="B392" s="22" t="s">
        <v>420</v>
      </c>
      <c r="C392" s="92">
        <v>43006</v>
      </c>
      <c r="D392" s="19" t="str">
        <f t="shared" si="23"/>
        <v>J</v>
      </c>
      <c r="E392" s="19">
        <f t="shared" si="24"/>
        <v>39</v>
      </c>
      <c r="F392" s="18">
        <v>33</v>
      </c>
      <c r="G392" s="18">
        <v>13</v>
      </c>
      <c r="H392" s="18">
        <v>18</v>
      </c>
      <c r="I392" s="18">
        <v>28</v>
      </c>
      <c r="J392" s="18">
        <v>30</v>
      </c>
      <c r="K392" s="18">
        <v>29</v>
      </c>
      <c r="L392" s="18">
        <v>17</v>
      </c>
      <c r="M392" s="18">
        <v>3</v>
      </c>
      <c r="N392" s="18" t="s">
        <v>32</v>
      </c>
    </row>
    <row r="393" spans="1:14" x14ac:dyDescent="0.25">
      <c r="A393" s="18">
        <f t="shared" si="25"/>
        <v>704</v>
      </c>
      <c r="B393" s="22" t="s">
        <v>421</v>
      </c>
      <c r="C393" s="92">
        <v>43008</v>
      </c>
      <c r="D393" s="19" t="str">
        <f t="shared" si="23"/>
        <v>S</v>
      </c>
      <c r="E393" s="19">
        <f t="shared" si="24"/>
        <v>39</v>
      </c>
      <c r="F393" s="18">
        <v>31</v>
      </c>
      <c r="G393" s="18">
        <v>4</v>
      </c>
      <c r="H393" s="18">
        <v>42</v>
      </c>
      <c r="I393" s="18">
        <v>35</v>
      </c>
      <c r="J393" s="18">
        <v>6</v>
      </c>
      <c r="K393" s="18">
        <v>33</v>
      </c>
      <c r="L393" s="18">
        <v>46</v>
      </c>
      <c r="M393" s="18">
        <v>1</v>
      </c>
      <c r="N393" s="18" t="s">
        <v>32</v>
      </c>
    </row>
    <row r="394" spans="1:14" x14ac:dyDescent="0.25">
      <c r="A394" s="18">
        <f t="shared" si="25"/>
        <v>705</v>
      </c>
      <c r="B394" s="22" t="s">
        <v>422</v>
      </c>
      <c r="C394" s="92">
        <v>43013</v>
      </c>
      <c r="D394" s="19" t="str">
        <f t="shared" si="23"/>
        <v>J</v>
      </c>
      <c r="E394" s="19">
        <f t="shared" si="24"/>
        <v>40</v>
      </c>
      <c r="F394" s="18">
        <v>48</v>
      </c>
      <c r="G394" s="18">
        <v>26</v>
      </c>
      <c r="H394" s="18">
        <v>5</v>
      </c>
      <c r="I394" s="18">
        <v>23</v>
      </c>
      <c r="J394" s="18">
        <v>33</v>
      </c>
      <c r="K394" s="18">
        <v>12</v>
      </c>
      <c r="L394" s="18">
        <v>31</v>
      </c>
      <c r="M394" s="18">
        <v>6</v>
      </c>
      <c r="N394" s="18" t="s">
        <v>32</v>
      </c>
    </row>
    <row r="395" spans="1:14" x14ac:dyDescent="0.25">
      <c r="A395" s="18">
        <f t="shared" si="25"/>
        <v>706</v>
      </c>
      <c r="B395" s="22" t="s">
        <v>423</v>
      </c>
      <c r="C395" s="92">
        <v>43015</v>
      </c>
      <c r="D395" s="19" t="str">
        <f t="shared" si="23"/>
        <v>S</v>
      </c>
      <c r="E395" s="19">
        <f t="shared" si="24"/>
        <v>40</v>
      </c>
      <c r="F395" s="18">
        <v>47</v>
      </c>
      <c r="G395" s="18">
        <v>45</v>
      </c>
      <c r="H395" s="18">
        <v>23</v>
      </c>
      <c r="I395" s="18">
        <v>1</v>
      </c>
      <c r="J395" s="18">
        <v>41</v>
      </c>
      <c r="K395" s="18">
        <v>20</v>
      </c>
      <c r="L395" s="18">
        <v>22</v>
      </c>
      <c r="M395" s="18">
        <v>4</v>
      </c>
      <c r="N395" s="18" t="s">
        <v>32</v>
      </c>
    </row>
    <row r="396" spans="1:14" x14ac:dyDescent="0.25">
      <c r="A396" s="18">
        <f t="shared" si="25"/>
        <v>707</v>
      </c>
      <c r="B396" s="22" t="s">
        <v>424</v>
      </c>
      <c r="C396" s="92">
        <v>43020</v>
      </c>
      <c r="D396" s="19" t="str">
        <f t="shared" si="23"/>
        <v>J</v>
      </c>
      <c r="E396" s="19">
        <f t="shared" si="24"/>
        <v>41</v>
      </c>
      <c r="F396" s="18">
        <v>9</v>
      </c>
      <c r="G396" s="18">
        <v>20</v>
      </c>
      <c r="H396" s="18">
        <v>37</v>
      </c>
      <c r="I396" s="18">
        <v>31</v>
      </c>
      <c r="J396" s="18">
        <v>7</v>
      </c>
      <c r="K396" s="18">
        <v>47</v>
      </c>
      <c r="L396" s="18">
        <v>18</v>
      </c>
      <c r="M396" s="18">
        <v>7</v>
      </c>
      <c r="N396" s="18" t="s">
        <v>32</v>
      </c>
    </row>
    <row r="397" spans="1:14" x14ac:dyDescent="0.25">
      <c r="A397" s="18">
        <f t="shared" si="25"/>
        <v>708</v>
      </c>
      <c r="B397" s="22" t="s">
        <v>425</v>
      </c>
      <c r="C397" s="92">
        <v>43022</v>
      </c>
      <c r="D397" s="19" t="str">
        <f t="shared" si="23"/>
        <v>S</v>
      </c>
      <c r="E397" s="19">
        <f t="shared" si="24"/>
        <v>41</v>
      </c>
      <c r="F397" s="18">
        <v>47</v>
      </c>
      <c r="G397" s="18">
        <v>35</v>
      </c>
      <c r="H397" s="18">
        <v>23</v>
      </c>
      <c r="I397" s="18">
        <v>16</v>
      </c>
      <c r="J397" s="18">
        <v>26</v>
      </c>
      <c r="K397" s="18">
        <v>45</v>
      </c>
      <c r="L397" s="18">
        <v>19</v>
      </c>
      <c r="M397" s="18">
        <v>5</v>
      </c>
      <c r="N397" s="18" t="s">
        <v>32</v>
      </c>
    </row>
    <row r="398" spans="1:14" x14ac:dyDescent="0.25">
      <c r="A398" s="18">
        <f t="shared" si="25"/>
        <v>709</v>
      </c>
      <c r="B398" s="22" t="s">
        <v>426</v>
      </c>
      <c r="C398" s="92">
        <v>43027</v>
      </c>
      <c r="D398" s="19" t="str">
        <f t="shared" si="23"/>
        <v>J</v>
      </c>
      <c r="E398" s="19">
        <f t="shared" si="24"/>
        <v>42</v>
      </c>
      <c r="F398" s="19">
        <v>11</v>
      </c>
      <c r="G398" s="18">
        <v>41</v>
      </c>
      <c r="H398" s="18">
        <v>7</v>
      </c>
      <c r="I398" s="18">
        <v>42</v>
      </c>
      <c r="J398" s="18">
        <v>16</v>
      </c>
      <c r="K398" s="18">
        <v>31</v>
      </c>
      <c r="L398" s="18">
        <v>17</v>
      </c>
      <c r="M398" s="18">
        <v>3</v>
      </c>
      <c r="N398" s="18" t="s">
        <v>32</v>
      </c>
    </row>
    <row r="399" spans="1:14" x14ac:dyDescent="0.25">
      <c r="A399" s="18">
        <f t="shared" si="25"/>
        <v>710</v>
      </c>
      <c r="B399" s="22" t="s">
        <v>427</v>
      </c>
      <c r="C399" s="92">
        <v>43029</v>
      </c>
      <c r="D399" s="19" t="str">
        <f t="shared" si="23"/>
        <v>S</v>
      </c>
      <c r="E399" s="19">
        <f t="shared" si="24"/>
        <v>42</v>
      </c>
      <c r="F399" s="18">
        <v>34</v>
      </c>
      <c r="G399" s="18">
        <v>22</v>
      </c>
      <c r="H399" s="18">
        <v>6</v>
      </c>
      <c r="I399" s="18">
        <v>40</v>
      </c>
      <c r="J399" s="18">
        <v>5</v>
      </c>
      <c r="K399" s="18">
        <v>17</v>
      </c>
      <c r="L399" s="18">
        <v>35</v>
      </c>
      <c r="M399" s="18">
        <v>7</v>
      </c>
      <c r="N399" s="18" t="s">
        <v>32</v>
      </c>
    </row>
    <row r="400" spans="1:14" x14ac:dyDescent="0.25">
      <c r="A400" s="18">
        <f t="shared" si="25"/>
        <v>711</v>
      </c>
      <c r="B400" s="22" t="s">
        <v>428</v>
      </c>
      <c r="C400" s="92">
        <v>43034</v>
      </c>
      <c r="D400" s="19" t="str">
        <f t="shared" si="23"/>
        <v>J</v>
      </c>
      <c r="E400" s="19">
        <f t="shared" si="24"/>
        <v>43</v>
      </c>
      <c r="F400" s="18">
        <v>6</v>
      </c>
      <c r="G400" s="18">
        <v>25</v>
      </c>
      <c r="H400" s="18">
        <v>17</v>
      </c>
      <c r="I400" s="18">
        <v>2</v>
      </c>
      <c r="J400" s="18">
        <v>49</v>
      </c>
      <c r="K400" s="18">
        <v>37</v>
      </c>
      <c r="L400" s="18">
        <v>30</v>
      </c>
      <c r="M400" s="18">
        <v>5</v>
      </c>
      <c r="N400" s="18" t="s">
        <v>32</v>
      </c>
    </row>
    <row r="401" spans="1:14" x14ac:dyDescent="0.25">
      <c r="A401" s="18">
        <f t="shared" si="25"/>
        <v>712</v>
      </c>
      <c r="B401" s="22" t="s">
        <v>429</v>
      </c>
      <c r="C401" s="92">
        <v>43036</v>
      </c>
      <c r="D401" s="19" t="str">
        <f t="shared" si="23"/>
        <v>S</v>
      </c>
      <c r="E401" s="19">
        <f t="shared" si="24"/>
        <v>43</v>
      </c>
      <c r="F401" s="18">
        <v>35</v>
      </c>
      <c r="G401" s="18">
        <v>38</v>
      </c>
      <c r="H401" s="18">
        <v>21</v>
      </c>
      <c r="I401" s="18">
        <v>17</v>
      </c>
      <c r="J401" s="18">
        <v>3</v>
      </c>
      <c r="K401" s="18">
        <v>37</v>
      </c>
      <c r="L401" s="18">
        <v>18</v>
      </c>
      <c r="M401" s="18">
        <v>5</v>
      </c>
      <c r="N401" s="18" t="s">
        <v>32</v>
      </c>
    </row>
    <row r="402" spans="1:14" x14ac:dyDescent="0.25">
      <c r="A402" s="18">
        <f t="shared" si="25"/>
        <v>713</v>
      </c>
      <c r="B402" s="22" t="s">
        <v>430</v>
      </c>
      <c r="C402" s="92">
        <v>43041</v>
      </c>
      <c r="D402" s="19" t="str">
        <f t="shared" si="23"/>
        <v>J</v>
      </c>
      <c r="E402" s="19">
        <f t="shared" si="24"/>
        <v>44</v>
      </c>
      <c r="F402" s="18">
        <v>12</v>
      </c>
      <c r="G402" s="18">
        <v>19</v>
      </c>
      <c r="H402" s="18">
        <v>34</v>
      </c>
      <c r="I402" s="18">
        <v>45</v>
      </c>
      <c r="J402" s="18">
        <v>47</v>
      </c>
      <c r="K402" s="18">
        <v>48</v>
      </c>
      <c r="L402" s="18">
        <v>29</v>
      </c>
      <c r="M402" s="18">
        <v>1</v>
      </c>
      <c r="N402" s="18" t="s">
        <v>32</v>
      </c>
    </row>
    <row r="403" spans="1:14" x14ac:dyDescent="0.25">
      <c r="A403" s="18">
        <f t="shared" si="25"/>
        <v>714</v>
      </c>
      <c r="B403" s="22" t="s">
        <v>431</v>
      </c>
      <c r="C403" s="92">
        <v>43043</v>
      </c>
      <c r="D403" s="19" t="str">
        <f t="shared" si="23"/>
        <v>S</v>
      </c>
      <c r="E403" s="19">
        <f t="shared" si="24"/>
        <v>44</v>
      </c>
      <c r="F403" s="18">
        <v>48</v>
      </c>
      <c r="G403" s="18">
        <v>42</v>
      </c>
      <c r="H403" s="18">
        <v>25</v>
      </c>
      <c r="I403" s="18">
        <v>47</v>
      </c>
      <c r="J403" s="18">
        <v>19</v>
      </c>
      <c r="K403" s="18">
        <v>27</v>
      </c>
      <c r="L403" s="18">
        <v>24</v>
      </c>
      <c r="M403" s="18">
        <v>8</v>
      </c>
      <c r="N403" s="18" t="s">
        <v>32</v>
      </c>
    </row>
    <row r="404" spans="1:14" x14ac:dyDescent="0.25">
      <c r="A404" s="18">
        <f t="shared" si="25"/>
        <v>715</v>
      </c>
      <c r="B404" s="22" t="s">
        <v>432</v>
      </c>
      <c r="C404" s="92">
        <v>43048</v>
      </c>
      <c r="D404" s="19" t="str">
        <f t="shared" si="23"/>
        <v>J</v>
      </c>
      <c r="E404" s="19">
        <f t="shared" si="24"/>
        <v>45</v>
      </c>
      <c r="F404" s="18">
        <v>9</v>
      </c>
      <c r="G404" s="18">
        <v>10</v>
      </c>
      <c r="H404" s="18">
        <v>1</v>
      </c>
      <c r="I404" s="18">
        <v>12</v>
      </c>
      <c r="J404" s="18">
        <v>49</v>
      </c>
      <c r="K404" s="18">
        <v>27</v>
      </c>
      <c r="L404" s="18">
        <v>41</v>
      </c>
      <c r="M404" s="18">
        <v>9</v>
      </c>
      <c r="N404" s="18" t="s">
        <v>32</v>
      </c>
    </row>
    <row r="405" spans="1:14" x14ac:dyDescent="0.25">
      <c r="A405" s="18">
        <f t="shared" si="25"/>
        <v>716</v>
      </c>
      <c r="B405" s="22" t="s">
        <v>433</v>
      </c>
      <c r="C405" s="92">
        <v>43050</v>
      </c>
      <c r="D405" s="19" t="str">
        <f t="shared" si="23"/>
        <v>S</v>
      </c>
      <c r="E405" s="19">
        <f t="shared" si="24"/>
        <v>45</v>
      </c>
      <c r="F405" s="18">
        <v>6</v>
      </c>
      <c r="G405" s="18">
        <v>45</v>
      </c>
      <c r="H405" s="18">
        <v>24</v>
      </c>
      <c r="I405" s="18">
        <v>43</v>
      </c>
      <c r="J405" s="18">
        <v>8</v>
      </c>
      <c r="K405" s="18">
        <v>22</v>
      </c>
      <c r="L405" s="18">
        <v>11</v>
      </c>
      <c r="M405" s="18">
        <v>1</v>
      </c>
      <c r="N405" s="18" t="s">
        <v>32</v>
      </c>
    </row>
    <row r="406" spans="1:14" x14ac:dyDescent="0.25">
      <c r="A406" s="18">
        <f t="shared" si="25"/>
        <v>717</v>
      </c>
      <c r="B406" s="22" t="s">
        <v>434</v>
      </c>
      <c r="C406" s="92">
        <v>43055</v>
      </c>
      <c r="D406" s="19" t="str">
        <f t="shared" si="23"/>
        <v>J</v>
      </c>
      <c r="E406" s="19">
        <f t="shared" si="24"/>
        <v>46</v>
      </c>
      <c r="F406" s="18">
        <v>41</v>
      </c>
      <c r="G406" s="18">
        <v>13</v>
      </c>
      <c r="H406" s="18">
        <v>11</v>
      </c>
      <c r="I406" s="18">
        <v>10</v>
      </c>
      <c r="J406" s="18">
        <v>5</v>
      </c>
      <c r="K406" s="18">
        <v>23</v>
      </c>
      <c r="L406" s="18">
        <v>37</v>
      </c>
      <c r="M406" s="18">
        <v>0</v>
      </c>
      <c r="N406" s="18" t="s">
        <v>32</v>
      </c>
    </row>
    <row r="407" spans="1:14" x14ac:dyDescent="0.25">
      <c r="A407" s="18">
        <f t="shared" si="25"/>
        <v>718</v>
      </c>
      <c r="B407" s="22" t="s">
        <v>435</v>
      </c>
      <c r="C407" s="92">
        <v>43057</v>
      </c>
      <c r="D407" s="19" t="str">
        <f t="shared" si="23"/>
        <v>S</v>
      </c>
      <c r="E407" s="19">
        <f t="shared" si="24"/>
        <v>46</v>
      </c>
      <c r="F407" s="18">
        <v>44</v>
      </c>
      <c r="G407" s="18">
        <v>12</v>
      </c>
      <c r="H407" s="18">
        <v>29</v>
      </c>
      <c r="I407" s="18">
        <v>3</v>
      </c>
      <c r="J407" s="18">
        <v>31</v>
      </c>
      <c r="K407" s="18">
        <v>7</v>
      </c>
      <c r="L407" s="18">
        <v>46</v>
      </c>
      <c r="M407" s="18">
        <v>5</v>
      </c>
      <c r="N407" s="18" t="s">
        <v>32</v>
      </c>
    </row>
    <row r="408" spans="1:14" x14ac:dyDescent="0.25">
      <c r="A408" s="18">
        <f t="shared" si="25"/>
        <v>719</v>
      </c>
      <c r="B408" s="22" t="s">
        <v>436</v>
      </c>
      <c r="C408" s="92">
        <v>43062</v>
      </c>
      <c r="D408" s="19" t="str">
        <f t="shared" si="23"/>
        <v>J</v>
      </c>
      <c r="E408" s="19">
        <f t="shared" si="24"/>
        <v>47</v>
      </c>
      <c r="F408" s="18">
        <v>11</v>
      </c>
      <c r="G408" s="18">
        <v>45</v>
      </c>
      <c r="H408" s="18">
        <v>43</v>
      </c>
      <c r="I408" s="18">
        <v>35</v>
      </c>
      <c r="J408" s="18">
        <v>9</v>
      </c>
      <c r="K408" s="18">
        <v>3</v>
      </c>
      <c r="L408" s="18">
        <v>33</v>
      </c>
      <c r="M408" s="18">
        <v>6</v>
      </c>
      <c r="N408" s="18" t="s">
        <v>32</v>
      </c>
    </row>
    <row r="409" spans="1:14" x14ac:dyDescent="0.25">
      <c r="A409" s="18">
        <f t="shared" si="25"/>
        <v>720</v>
      </c>
      <c r="B409" s="22" t="s">
        <v>437</v>
      </c>
      <c r="C409" s="92">
        <v>43064</v>
      </c>
      <c r="D409" s="19" t="str">
        <f t="shared" si="23"/>
        <v>S</v>
      </c>
      <c r="E409" s="19">
        <f t="shared" si="24"/>
        <v>47</v>
      </c>
      <c r="F409" s="18">
        <v>21</v>
      </c>
      <c r="G409" s="18">
        <v>34</v>
      </c>
      <c r="H409" s="18">
        <v>31</v>
      </c>
      <c r="I409" s="18">
        <v>46</v>
      </c>
      <c r="J409" s="18">
        <v>29</v>
      </c>
      <c r="K409" s="18">
        <v>32</v>
      </c>
      <c r="L409" s="18">
        <v>38</v>
      </c>
      <c r="M409" s="18">
        <v>4</v>
      </c>
      <c r="N409" s="18" t="s">
        <v>32</v>
      </c>
    </row>
    <row r="410" spans="1:14" x14ac:dyDescent="0.25">
      <c r="A410" s="18">
        <f t="shared" si="25"/>
        <v>721</v>
      </c>
      <c r="B410" s="22" t="s">
        <v>438</v>
      </c>
      <c r="C410" s="92">
        <v>43069</v>
      </c>
      <c r="D410" s="19" t="str">
        <f t="shared" ref="D410:D473" si="26">CHOOSE(WEEKDAY(C410),"D","L","M","X","J","V","S")</f>
        <v>J</v>
      </c>
      <c r="E410" s="19">
        <f t="shared" ref="E410:E473" si="27">WEEKNUM(C410,21)</f>
        <v>48</v>
      </c>
      <c r="F410" s="18">
        <v>29</v>
      </c>
      <c r="G410" s="18">
        <v>20</v>
      </c>
      <c r="H410" s="18">
        <v>30</v>
      </c>
      <c r="I410" s="18">
        <v>9</v>
      </c>
      <c r="J410" s="18">
        <v>5</v>
      </c>
      <c r="K410" s="18">
        <v>6</v>
      </c>
      <c r="L410" s="18">
        <v>8</v>
      </c>
      <c r="M410" s="18">
        <v>4</v>
      </c>
      <c r="N410" s="18" t="s">
        <v>32</v>
      </c>
    </row>
    <row r="411" spans="1:14" x14ac:dyDescent="0.25">
      <c r="A411" s="18">
        <f t="shared" si="25"/>
        <v>722</v>
      </c>
      <c r="B411" s="22" t="s">
        <v>439</v>
      </c>
      <c r="C411" s="92">
        <v>43071</v>
      </c>
      <c r="D411" s="19" t="str">
        <f t="shared" si="26"/>
        <v>S</v>
      </c>
      <c r="E411" s="19">
        <f t="shared" si="27"/>
        <v>48</v>
      </c>
      <c r="F411" s="18">
        <v>19</v>
      </c>
      <c r="G411" s="18">
        <v>3</v>
      </c>
      <c r="H411" s="18">
        <v>47</v>
      </c>
      <c r="I411" s="18">
        <v>16</v>
      </c>
      <c r="J411" s="18">
        <v>22</v>
      </c>
      <c r="K411" s="18">
        <v>11</v>
      </c>
      <c r="L411" s="18">
        <v>38</v>
      </c>
      <c r="M411" s="18">
        <v>6</v>
      </c>
      <c r="N411" s="18" t="s">
        <v>32</v>
      </c>
    </row>
    <row r="412" spans="1:14" x14ac:dyDescent="0.25">
      <c r="A412" s="18">
        <f t="shared" si="25"/>
        <v>723</v>
      </c>
      <c r="B412" s="22" t="s">
        <v>440</v>
      </c>
      <c r="C412" s="92">
        <v>43076</v>
      </c>
      <c r="D412" s="19" t="str">
        <f t="shared" si="26"/>
        <v>J</v>
      </c>
      <c r="E412" s="19">
        <f t="shared" si="27"/>
        <v>49</v>
      </c>
      <c r="F412" s="18">
        <v>1</v>
      </c>
      <c r="G412" s="18">
        <v>4</v>
      </c>
      <c r="H412" s="18">
        <v>14</v>
      </c>
      <c r="I412" s="18">
        <v>45</v>
      </c>
      <c r="J412" s="18">
        <v>3</v>
      </c>
      <c r="K412" s="18">
        <v>7</v>
      </c>
      <c r="L412" s="18">
        <v>18</v>
      </c>
      <c r="M412" s="18">
        <v>6</v>
      </c>
      <c r="N412" s="18" t="s">
        <v>32</v>
      </c>
    </row>
    <row r="413" spans="1:14" x14ac:dyDescent="0.25">
      <c r="A413" s="18">
        <f t="shared" si="25"/>
        <v>724</v>
      </c>
      <c r="B413" s="22" t="s">
        <v>441</v>
      </c>
      <c r="C413" s="92">
        <v>43078</v>
      </c>
      <c r="D413" s="19" t="str">
        <f t="shared" si="26"/>
        <v>S</v>
      </c>
      <c r="E413" s="19">
        <f t="shared" si="27"/>
        <v>49</v>
      </c>
      <c r="F413" s="18">
        <v>47</v>
      </c>
      <c r="G413" s="18">
        <v>5</v>
      </c>
      <c r="H413" s="18">
        <v>33</v>
      </c>
      <c r="I413" s="18">
        <v>40</v>
      </c>
      <c r="J413" s="18">
        <v>38</v>
      </c>
      <c r="K413" s="18">
        <v>32</v>
      </c>
      <c r="L413" s="18">
        <v>34</v>
      </c>
      <c r="M413" s="18">
        <v>2</v>
      </c>
      <c r="N413" s="18" t="s">
        <v>32</v>
      </c>
    </row>
    <row r="414" spans="1:14" x14ac:dyDescent="0.25">
      <c r="A414" s="18">
        <f t="shared" si="25"/>
        <v>725</v>
      </c>
      <c r="B414" s="22" t="s">
        <v>442</v>
      </c>
      <c r="C414" s="92">
        <v>43083</v>
      </c>
      <c r="D414" s="19" t="str">
        <f t="shared" si="26"/>
        <v>J</v>
      </c>
      <c r="E414" s="19">
        <f t="shared" si="27"/>
        <v>50</v>
      </c>
      <c r="F414" s="18">
        <v>35</v>
      </c>
      <c r="G414" s="18">
        <v>48</v>
      </c>
      <c r="H414" s="18">
        <v>28</v>
      </c>
      <c r="I414" s="18">
        <v>31</v>
      </c>
      <c r="J414" s="18">
        <v>25</v>
      </c>
      <c r="K414" s="18">
        <v>44</v>
      </c>
      <c r="L414" s="18">
        <v>47</v>
      </c>
      <c r="M414" s="18">
        <v>6</v>
      </c>
      <c r="N414" s="18" t="s">
        <v>32</v>
      </c>
    </row>
    <row r="415" spans="1:14" x14ac:dyDescent="0.25">
      <c r="A415" s="18">
        <f t="shared" si="25"/>
        <v>726</v>
      </c>
      <c r="B415" s="22" t="s">
        <v>443</v>
      </c>
      <c r="C415" s="92">
        <v>43085</v>
      </c>
      <c r="D415" s="19" t="str">
        <f t="shared" si="26"/>
        <v>S</v>
      </c>
      <c r="E415" s="19">
        <f t="shared" si="27"/>
        <v>50</v>
      </c>
      <c r="F415" s="18">
        <v>16</v>
      </c>
      <c r="G415" s="18">
        <v>19</v>
      </c>
      <c r="H415" s="18">
        <v>49</v>
      </c>
      <c r="I415" s="18">
        <v>45</v>
      </c>
      <c r="J415" s="18">
        <v>28</v>
      </c>
      <c r="K415" s="18">
        <v>48</v>
      </c>
      <c r="L415" s="18">
        <v>17</v>
      </c>
      <c r="M415" s="18">
        <v>8</v>
      </c>
      <c r="N415" s="18" t="s">
        <v>32</v>
      </c>
    </row>
    <row r="416" spans="1:14" x14ac:dyDescent="0.25">
      <c r="A416" s="18">
        <f t="shared" si="25"/>
        <v>727</v>
      </c>
      <c r="B416" s="22" t="s">
        <v>444</v>
      </c>
      <c r="C416" s="92">
        <v>43090</v>
      </c>
      <c r="D416" s="19" t="str">
        <f t="shared" si="26"/>
        <v>J</v>
      </c>
      <c r="E416" s="19">
        <f t="shared" si="27"/>
        <v>51</v>
      </c>
      <c r="F416" s="18">
        <v>45</v>
      </c>
      <c r="G416" s="18">
        <v>35</v>
      </c>
      <c r="H416" s="18">
        <v>15</v>
      </c>
      <c r="I416" s="18">
        <v>36</v>
      </c>
      <c r="J416" s="18">
        <v>3</v>
      </c>
      <c r="K416" s="18">
        <v>27</v>
      </c>
      <c r="L416" s="18">
        <v>16</v>
      </c>
      <c r="M416" s="18">
        <v>8</v>
      </c>
      <c r="N416" s="18" t="s">
        <v>32</v>
      </c>
    </row>
    <row r="417" spans="1:14" x14ac:dyDescent="0.25">
      <c r="A417" s="18">
        <f t="shared" si="25"/>
        <v>728</v>
      </c>
      <c r="B417" s="22" t="s">
        <v>445</v>
      </c>
      <c r="C417" s="92">
        <v>43092</v>
      </c>
      <c r="D417" s="19" t="str">
        <f t="shared" si="26"/>
        <v>S</v>
      </c>
      <c r="E417" s="19">
        <f t="shared" si="27"/>
        <v>51</v>
      </c>
      <c r="F417" s="18">
        <v>30</v>
      </c>
      <c r="G417" s="18">
        <v>39</v>
      </c>
      <c r="H417" s="18">
        <v>46</v>
      </c>
      <c r="I417" s="18">
        <v>24</v>
      </c>
      <c r="J417" s="18">
        <v>26</v>
      </c>
      <c r="K417" s="18">
        <v>4</v>
      </c>
      <c r="L417" s="18">
        <v>6</v>
      </c>
      <c r="M417" s="18">
        <v>4</v>
      </c>
      <c r="N417" s="18" t="s">
        <v>32</v>
      </c>
    </row>
    <row r="418" spans="1:14" x14ac:dyDescent="0.25">
      <c r="A418" s="18">
        <f t="shared" si="25"/>
        <v>729</v>
      </c>
      <c r="B418" s="22" t="s">
        <v>446</v>
      </c>
      <c r="C418" s="92">
        <v>43097</v>
      </c>
      <c r="D418" s="19" t="str">
        <f t="shared" si="26"/>
        <v>J</v>
      </c>
      <c r="E418" s="19">
        <f t="shared" si="27"/>
        <v>52</v>
      </c>
      <c r="F418" s="18">
        <v>28</v>
      </c>
      <c r="G418" s="18">
        <v>21</v>
      </c>
      <c r="H418" s="18">
        <v>34</v>
      </c>
      <c r="I418" s="18">
        <v>5</v>
      </c>
      <c r="J418" s="18">
        <v>26</v>
      </c>
      <c r="K418" s="18">
        <v>3</v>
      </c>
      <c r="L418" s="18">
        <v>42</v>
      </c>
      <c r="M418" s="18">
        <v>2</v>
      </c>
      <c r="N418" s="18" t="s">
        <v>32</v>
      </c>
    </row>
    <row r="419" spans="1:14" x14ac:dyDescent="0.25">
      <c r="A419" s="18">
        <f t="shared" si="25"/>
        <v>730</v>
      </c>
      <c r="B419" s="22" t="s">
        <v>447</v>
      </c>
      <c r="C419" s="92">
        <v>43099</v>
      </c>
      <c r="D419" s="19" t="str">
        <f t="shared" si="26"/>
        <v>S</v>
      </c>
      <c r="E419" s="19">
        <f t="shared" si="27"/>
        <v>52</v>
      </c>
      <c r="F419" s="18">
        <v>11</v>
      </c>
      <c r="G419" s="18">
        <v>21</v>
      </c>
      <c r="H419" s="18">
        <v>42</v>
      </c>
      <c r="I419" s="18">
        <v>44</v>
      </c>
      <c r="J419" s="18">
        <v>9</v>
      </c>
      <c r="K419" s="18">
        <v>8</v>
      </c>
      <c r="L419" s="18">
        <v>22</v>
      </c>
      <c r="M419" s="18">
        <v>8</v>
      </c>
      <c r="N419" s="18" t="s">
        <v>32</v>
      </c>
    </row>
    <row r="420" spans="1:14" x14ac:dyDescent="0.25">
      <c r="A420" s="18">
        <f t="shared" si="25"/>
        <v>731</v>
      </c>
      <c r="B420" s="22" t="s">
        <v>448</v>
      </c>
      <c r="C420" s="92">
        <v>43104</v>
      </c>
      <c r="D420" s="19" t="str">
        <f t="shared" si="26"/>
        <v>J</v>
      </c>
      <c r="E420" s="19">
        <f t="shared" si="27"/>
        <v>1</v>
      </c>
      <c r="F420" s="18">
        <v>24</v>
      </c>
      <c r="G420" s="18">
        <v>6</v>
      </c>
      <c r="H420" s="18">
        <v>35</v>
      </c>
      <c r="I420" s="18">
        <v>13</v>
      </c>
      <c r="J420" s="18">
        <v>42</v>
      </c>
      <c r="K420" s="18">
        <v>9</v>
      </c>
      <c r="L420" s="18">
        <v>16</v>
      </c>
      <c r="M420" s="18">
        <v>3</v>
      </c>
      <c r="N420" s="18" t="s">
        <v>32</v>
      </c>
    </row>
    <row r="421" spans="1:14" x14ac:dyDescent="0.25">
      <c r="A421" s="18">
        <f t="shared" si="25"/>
        <v>732</v>
      </c>
      <c r="B421" s="22" t="s">
        <v>449</v>
      </c>
      <c r="C421" s="92">
        <v>43106</v>
      </c>
      <c r="D421" s="19" t="str">
        <f t="shared" si="26"/>
        <v>S</v>
      </c>
      <c r="E421" s="19">
        <f t="shared" si="27"/>
        <v>1</v>
      </c>
      <c r="F421" s="18">
        <v>33</v>
      </c>
      <c r="G421" s="18">
        <v>42</v>
      </c>
      <c r="H421" s="18">
        <v>40</v>
      </c>
      <c r="I421" s="18">
        <v>19</v>
      </c>
      <c r="J421" s="18">
        <v>48</v>
      </c>
      <c r="K421" s="18">
        <v>28</v>
      </c>
      <c r="L421" s="18">
        <v>38</v>
      </c>
      <c r="M421" s="18">
        <v>0</v>
      </c>
      <c r="N421" s="18" t="s">
        <v>32</v>
      </c>
    </row>
    <row r="422" spans="1:14" x14ac:dyDescent="0.25">
      <c r="A422" s="18">
        <f t="shared" si="25"/>
        <v>733</v>
      </c>
      <c r="B422" s="22" t="s">
        <v>450</v>
      </c>
      <c r="C422" s="92">
        <v>43111</v>
      </c>
      <c r="D422" s="19" t="str">
        <f t="shared" si="26"/>
        <v>J</v>
      </c>
      <c r="E422" s="19">
        <f t="shared" si="27"/>
        <v>2</v>
      </c>
      <c r="F422" s="18">
        <v>32</v>
      </c>
      <c r="G422" s="18">
        <v>24</v>
      </c>
      <c r="H422" s="18">
        <v>29</v>
      </c>
      <c r="I422" s="18">
        <v>46</v>
      </c>
      <c r="J422" s="18">
        <v>15</v>
      </c>
      <c r="K422" s="18">
        <v>36</v>
      </c>
      <c r="L422" s="18">
        <v>44</v>
      </c>
      <c r="M422" s="18">
        <v>0</v>
      </c>
      <c r="N422" s="18" t="s">
        <v>32</v>
      </c>
    </row>
    <row r="423" spans="1:14" x14ac:dyDescent="0.25">
      <c r="A423" s="18">
        <f t="shared" si="25"/>
        <v>734</v>
      </c>
      <c r="B423" s="22" t="s">
        <v>451</v>
      </c>
      <c r="C423" s="92">
        <v>43113</v>
      </c>
      <c r="D423" s="19" t="str">
        <f t="shared" si="26"/>
        <v>S</v>
      </c>
      <c r="E423" s="19">
        <f t="shared" si="27"/>
        <v>2</v>
      </c>
      <c r="F423" s="18">
        <v>44</v>
      </c>
      <c r="G423" s="18">
        <v>31</v>
      </c>
      <c r="H423" s="18">
        <v>7</v>
      </c>
      <c r="I423" s="18">
        <v>22</v>
      </c>
      <c r="J423" s="18">
        <v>38</v>
      </c>
      <c r="K423" s="18">
        <v>6</v>
      </c>
      <c r="L423" s="18">
        <v>40</v>
      </c>
      <c r="M423" s="18">
        <v>8</v>
      </c>
      <c r="N423" s="18" t="s">
        <v>32</v>
      </c>
    </row>
    <row r="424" spans="1:14" x14ac:dyDescent="0.25">
      <c r="A424" s="18">
        <f t="shared" si="25"/>
        <v>735</v>
      </c>
      <c r="B424" s="22" t="s">
        <v>452</v>
      </c>
      <c r="C424" s="92">
        <v>43118</v>
      </c>
      <c r="D424" s="19" t="str">
        <f t="shared" si="26"/>
        <v>J</v>
      </c>
      <c r="E424" s="19">
        <f t="shared" si="27"/>
        <v>3</v>
      </c>
      <c r="F424" s="18">
        <v>11</v>
      </c>
      <c r="G424" s="18">
        <v>12</v>
      </c>
      <c r="H424" s="18">
        <v>37</v>
      </c>
      <c r="I424" s="18">
        <v>49</v>
      </c>
      <c r="J424" s="18">
        <v>22</v>
      </c>
      <c r="K424" s="18">
        <v>28</v>
      </c>
      <c r="L424" s="18">
        <v>24</v>
      </c>
      <c r="M424" s="18">
        <v>0</v>
      </c>
      <c r="N424" s="18" t="s">
        <v>32</v>
      </c>
    </row>
    <row r="425" spans="1:14" x14ac:dyDescent="0.25">
      <c r="A425" s="18">
        <f t="shared" si="25"/>
        <v>736</v>
      </c>
      <c r="B425" s="22" t="s">
        <v>453</v>
      </c>
      <c r="C425" s="92">
        <v>43120</v>
      </c>
      <c r="D425" s="19" t="str">
        <f t="shared" si="26"/>
        <v>S</v>
      </c>
      <c r="E425" s="19">
        <f t="shared" si="27"/>
        <v>3</v>
      </c>
      <c r="F425" s="18">
        <v>23</v>
      </c>
      <c r="G425" s="18">
        <v>47</v>
      </c>
      <c r="H425" s="18">
        <v>39</v>
      </c>
      <c r="I425" s="18">
        <v>28</v>
      </c>
      <c r="J425" s="18">
        <v>36</v>
      </c>
      <c r="K425" s="18">
        <v>15</v>
      </c>
      <c r="L425" s="18">
        <v>29</v>
      </c>
      <c r="M425" s="18">
        <v>8</v>
      </c>
      <c r="N425" s="18" t="s">
        <v>32</v>
      </c>
    </row>
    <row r="426" spans="1:14" x14ac:dyDescent="0.25">
      <c r="A426" s="18">
        <f t="shared" si="25"/>
        <v>737</v>
      </c>
      <c r="B426" s="22" t="s">
        <v>454</v>
      </c>
      <c r="C426" s="92">
        <v>43125</v>
      </c>
      <c r="D426" s="19" t="str">
        <f t="shared" si="26"/>
        <v>J</v>
      </c>
      <c r="E426" s="19">
        <f t="shared" si="27"/>
        <v>4</v>
      </c>
      <c r="F426" s="19">
        <v>3</v>
      </c>
      <c r="G426" s="18">
        <v>6</v>
      </c>
      <c r="H426" s="18">
        <v>40</v>
      </c>
      <c r="I426" s="18">
        <v>25</v>
      </c>
      <c r="J426" s="18">
        <v>32</v>
      </c>
      <c r="K426" s="18">
        <v>31</v>
      </c>
      <c r="L426" s="18">
        <v>20</v>
      </c>
      <c r="M426" s="18">
        <v>6</v>
      </c>
      <c r="N426" s="18" t="s">
        <v>32</v>
      </c>
    </row>
    <row r="427" spans="1:14" x14ac:dyDescent="0.25">
      <c r="A427" s="18">
        <f t="shared" si="25"/>
        <v>738</v>
      </c>
      <c r="B427" s="22" t="s">
        <v>455</v>
      </c>
      <c r="C427" s="92">
        <v>43127</v>
      </c>
      <c r="D427" s="19" t="str">
        <f t="shared" si="26"/>
        <v>S</v>
      </c>
      <c r="E427" s="19">
        <f t="shared" si="27"/>
        <v>4</v>
      </c>
      <c r="F427" s="18">
        <v>27</v>
      </c>
      <c r="G427" s="18">
        <v>34</v>
      </c>
      <c r="H427" s="18">
        <v>41</v>
      </c>
      <c r="I427" s="18">
        <v>13</v>
      </c>
      <c r="J427" s="18">
        <v>2</v>
      </c>
      <c r="K427" s="18">
        <v>46</v>
      </c>
      <c r="L427" s="18">
        <v>1</v>
      </c>
      <c r="M427" s="18">
        <v>4</v>
      </c>
      <c r="N427" s="18" t="s">
        <v>32</v>
      </c>
    </row>
    <row r="428" spans="1:14" x14ac:dyDescent="0.25">
      <c r="A428" s="18">
        <f t="shared" si="25"/>
        <v>739</v>
      </c>
      <c r="B428" s="22" t="s">
        <v>456</v>
      </c>
      <c r="C428" s="92">
        <v>43132</v>
      </c>
      <c r="D428" s="19" t="str">
        <f t="shared" si="26"/>
        <v>J</v>
      </c>
      <c r="E428" s="19">
        <f t="shared" si="27"/>
        <v>5</v>
      </c>
      <c r="F428" s="18">
        <v>42</v>
      </c>
      <c r="G428" s="18">
        <v>1</v>
      </c>
      <c r="H428" s="18">
        <v>4</v>
      </c>
      <c r="I428" s="18">
        <v>49</v>
      </c>
      <c r="J428" s="18">
        <v>46</v>
      </c>
      <c r="K428" s="18">
        <v>38</v>
      </c>
      <c r="L428" s="18">
        <v>35</v>
      </c>
      <c r="M428" s="18">
        <v>2</v>
      </c>
      <c r="N428" s="18" t="s">
        <v>32</v>
      </c>
    </row>
    <row r="429" spans="1:14" x14ac:dyDescent="0.25">
      <c r="A429" s="18">
        <f t="shared" si="25"/>
        <v>740</v>
      </c>
      <c r="B429" s="22" t="s">
        <v>457</v>
      </c>
      <c r="C429" s="92">
        <v>43134</v>
      </c>
      <c r="D429" s="19" t="str">
        <f t="shared" si="26"/>
        <v>S</v>
      </c>
      <c r="E429" s="19">
        <f t="shared" si="27"/>
        <v>5</v>
      </c>
      <c r="F429" s="18">
        <v>33</v>
      </c>
      <c r="G429" s="18">
        <v>40</v>
      </c>
      <c r="H429" s="18">
        <v>26</v>
      </c>
      <c r="I429" s="18">
        <v>1</v>
      </c>
      <c r="J429" s="18">
        <v>11</v>
      </c>
      <c r="K429" s="18">
        <v>9</v>
      </c>
      <c r="L429" s="18">
        <v>27</v>
      </c>
      <c r="M429" s="18">
        <v>2</v>
      </c>
      <c r="N429" s="18" t="s">
        <v>32</v>
      </c>
    </row>
    <row r="430" spans="1:14" x14ac:dyDescent="0.25">
      <c r="A430" s="18">
        <f t="shared" si="25"/>
        <v>741</v>
      </c>
      <c r="B430" s="22" t="s">
        <v>458</v>
      </c>
      <c r="C430" s="92">
        <v>43139</v>
      </c>
      <c r="D430" s="19" t="str">
        <f t="shared" si="26"/>
        <v>J</v>
      </c>
      <c r="E430" s="19">
        <f t="shared" si="27"/>
        <v>6</v>
      </c>
      <c r="F430" s="18">
        <v>42</v>
      </c>
      <c r="G430" s="18">
        <v>32</v>
      </c>
      <c r="H430" s="18">
        <v>19</v>
      </c>
      <c r="I430" s="18">
        <v>24</v>
      </c>
      <c r="J430" s="18">
        <v>18</v>
      </c>
      <c r="K430" s="18">
        <v>12</v>
      </c>
      <c r="L430" s="18">
        <v>30</v>
      </c>
      <c r="M430" s="18">
        <v>7</v>
      </c>
      <c r="N430" s="18" t="s">
        <v>32</v>
      </c>
    </row>
    <row r="431" spans="1:14" x14ac:dyDescent="0.25">
      <c r="A431" s="18">
        <f t="shared" si="25"/>
        <v>742</v>
      </c>
      <c r="B431" s="22" t="s">
        <v>459</v>
      </c>
      <c r="C431" s="92">
        <v>43141</v>
      </c>
      <c r="D431" s="19" t="str">
        <f t="shared" si="26"/>
        <v>S</v>
      </c>
      <c r="E431" s="19">
        <f t="shared" si="27"/>
        <v>6</v>
      </c>
      <c r="F431" s="18">
        <v>7</v>
      </c>
      <c r="G431" s="18">
        <v>12</v>
      </c>
      <c r="H431" s="18">
        <v>22</v>
      </c>
      <c r="I431" s="18">
        <v>10</v>
      </c>
      <c r="J431" s="18">
        <v>19</v>
      </c>
      <c r="K431" s="18">
        <v>45</v>
      </c>
      <c r="L431" s="18">
        <v>2</v>
      </c>
      <c r="M431" s="18">
        <v>3</v>
      </c>
      <c r="N431" s="18" t="s">
        <v>32</v>
      </c>
    </row>
    <row r="432" spans="1:14" x14ac:dyDescent="0.25">
      <c r="A432" s="18">
        <f t="shared" si="25"/>
        <v>743</v>
      </c>
      <c r="B432" s="22" t="s">
        <v>460</v>
      </c>
      <c r="C432" s="92">
        <v>43146</v>
      </c>
      <c r="D432" s="19" t="str">
        <f t="shared" si="26"/>
        <v>J</v>
      </c>
      <c r="E432" s="19">
        <f t="shared" si="27"/>
        <v>7</v>
      </c>
      <c r="F432" s="18">
        <v>1</v>
      </c>
      <c r="G432" s="18">
        <v>22</v>
      </c>
      <c r="H432" s="18">
        <v>21</v>
      </c>
      <c r="I432" s="18">
        <v>2</v>
      </c>
      <c r="J432" s="18">
        <v>27</v>
      </c>
      <c r="K432" s="18">
        <v>47</v>
      </c>
      <c r="L432" s="18">
        <v>24</v>
      </c>
      <c r="M432" s="18">
        <v>0</v>
      </c>
      <c r="N432" s="18" t="s">
        <v>32</v>
      </c>
    </row>
    <row r="433" spans="1:14" x14ac:dyDescent="0.25">
      <c r="A433" s="18">
        <f t="shared" si="25"/>
        <v>744</v>
      </c>
      <c r="B433" s="22" t="s">
        <v>461</v>
      </c>
      <c r="C433" s="92">
        <v>43148</v>
      </c>
      <c r="D433" s="19" t="str">
        <f t="shared" si="26"/>
        <v>S</v>
      </c>
      <c r="E433" s="19">
        <f t="shared" si="27"/>
        <v>7</v>
      </c>
      <c r="F433" s="18">
        <v>31</v>
      </c>
      <c r="G433" s="18">
        <v>22</v>
      </c>
      <c r="H433" s="18">
        <v>18</v>
      </c>
      <c r="I433" s="18">
        <v>38</v>
      </c>
      <c r="J433" s="18">
        <v>9</v>
      </c>
      <c r="K433" s="18">
        <v>19</v>
      </c>
      <c r="L433" s="18">
        <v>17</v>
      </c>
      <c r="M433" s="18">
        <v>8</v>
      </c>
      <c r="N433" s="18" t="s">
        <v>32</v>
      </c>
    </row>
    <row r="434" spans="1:14" x14ac:dyDescent="0.25">
      <c r="A434" s="18">
        <f t="shared" si="25"/>
        <v>745</v>
      </c>
      <c r="B434" s="22" t="s">
        <v>462</v>
      </c>
      <c r="C434" s="92">
        <v>43153</v>
      </c>
      <c r="D434" s="19" t="str">
        <f t="shared" si="26"/>
        <v>J</v>
      </c>
      <c r="E434" s="19">
        <f t="shared" si="27"/>
        <v>8</v>
      </c>
      <c r="F434" s="18">
        <v>34</v>
      </c>
      <c r="G434" s="18">
        <v>35</v>
      </c>
      <c r="H434" s="18">
        <v>4</v>
      </c>
      <c r="I434" s="18">
        <v>8</v>
      </c>
      <c r="J434" s="18">
        <v>11</v>
      </c>
      <c r="K434" s="18">
        <v>23</v>
      </c>
      <c r="L434" s="18">
        <v>2</v>
      </c>
      <c r="M434" s="18">
        <v>2</v>
      </c>
      <c r="N434" s="18" t="s">
        <v>32</v>
      </c>
    </row>
    <row r="435" spans="1:14" x14ac:dyDescent="0.25">
      <c r="A435" s="18">
        <f t="shared" si="25"/>
        <v>746</v>
      </c>
      <c r="B435" s="22" t="s">
        <v>463</v>
      </c>
      <c r="C435" s="92">
        <v>43155</v>
      </c>
      <c r="D435" s="19" t="str">
        <f t="shared" si="26"/>
        <v>S</v>
      </c>
      <c r="E435" s="19">
        <f t="shared" si="27"/>
        <v>8</v>
      </c>
      <c r="F435" s="18">
        <v>43</v>
      </c>
      <c r="G435" s="18">
        <v>45</v>
      </c>
      <c r="H435" s="18">
        <v>4</v>
      </c>
      <c r="I435" s="18">
        <v>12</v>
      </c>
      <c r="J435" s="18">
        <v>27</v>
      </c>
      <c r="K435" s="18">
        <v>5</v>
      </c>
      <c r="L435" s="18">
        <v>40</v>
      </c>
      <c r="M435" s="18">
        <v>7</v>
      </c>
      <c r="N435" s="18" t="s">
        <v>32</v>
      </c>
    </row>
    <row r="436" spans="1:14" x14ac:dyDescent="0.25">
      <c r="A436" s="18">
        <f t="shared" si="25"/>
        <v>747</v>
      </c>
      <c r="B436" s="22" t="s">
        <v>464</v>
      </c>
      <c r="C436" s="92">
        <v>43160</v>
      </c>
      <c r="D436" s="19" t="str">
        <f t="shared" si="26"/>
        <v>J</v>
      </c>
      <c r="E436" s="19">
        <f t="shared" si="27"/>
        <v>9</v>
      </c>
      <c r="F436" s="18">
        <v>36</v>
      </c>
      <c r="G436" s="18">
        <v>22</v>
      </c>
      <c r="H436" s="18">
        <v>6</v>
      </c>
      <c r="I436" s="18">
        <v>28</v>
      </c>
      <c r="J436" s="18">
        <v>17</v>
      </c>
      <c r="K436" s="18">
        <v>9</v>
      </c>
      <c r="L436" s="18">
        <v>7</v>
      </c>
      <c r="M436" s="18">
        <v>1</v>
      </c>
      <c r="N436" s="18" t="s">
        <v>32</v>
      </c>
    </row>
    <row r="437" spans="1:14" x14ac:dyDescent="0.25">
      <c r="A437" s="18">
        <f t="shared" si="25"/>
        <v>748</v>
      </c>
      <c r="B437" s="22" t="s">
        <v>465</v>
      </c>
      <c r="C437" s="92">
        <v>43162</v>
      </c>
      <c r="D437" s="19" t="str">
        <f t="shared" si="26"/>
        <v>S</v>
      </c>
      <c r="E437" s="19">
        <f t="shared" si="27"/>
        <v>9</v>
      </c>
      <c r="F437" s="18">
        <v>14</v>
      </c>
      <c r="G437" s="18">
        <v>24</v>
      </c>
      <c r="H437" s="18">
        <v>5</v>
      </c>
      <c r="I437" s="18">
        <v>49</v>
      </c>
      <c r="J437" s="18">
        <v>28</v>
      </c>
      <c r="K437" s="18">
        <v>36</v>
      </c>
      <c r="L437" s="18">
        <v>21</v>
      </c>
      <c r="M437" s="18">
        <v>7</v>
      </c>
      <c r="N437" s="18" t="s">
        <v>32</v>
      </c>
    </row>
    <row r="438" spans="1:14" x14ac:dyDescent="0.25">
      <c r="A438" s="18">
        <f t="shared" si="25"/>
        <v>749</v>
      </c>
      <c r="B438" s="22" t="s">
        <v>466</v>
      </c>
      <c r="C438" s="92">
        <v>43167</v>
      </c>
      <c r="D438" s="19" t="str">
        <f t="shared" si="26"/>
        <v>J</v>
      </c>
      <c r="E438" s="19">
        <f t="shared" si="27"/>
        <v>10</v>
      </c>
      <c r="F438" s="18">
        <v>9</v>
      </c>
      <c r="G438" s="18">
        <v>31</v>
      </c>
      <c r="H438" s="18">
        <v>15</v>
      </c>
      <c r="I438" s="18">
        <v>12</v>
      </c>
      <c r="J438" s="18">
        <v>2</v>
      </c>
      <c r="K438" s="18">
        <v>26</v>
      </c>
      <c r="L438" s="18">
        <v>16</v>
      </c>
      <c r="M438" s="18">
        <v>0</v>
      </c>
      <c r="N438" s="18" t="s">
        <v>32</v>
      </c>
    </row>
    <row r="439" spans="1:14" x14ac:dyDescent="0.25">
      <c r="A439" s="18">
        <f t="shared" si="25"/>
        <v>750</v>
      </c>
      <c r="B439" s="22" t="s">
        <v>467</v>
      </c>
      <c r="C439" s="92">
        <v>43169</v>
      </c>
      <c r="D439" s="19" t="str">
        <f t="shared" si="26"/>
        <v>S</v>
      </c>
      <c r="E439" s="19">
        <f t="shared" si="27"/>
        <v>10</v>
      </c>
      <c r="F439" s="18">
        <v>18</v>
      </c>
      <c r="G439" s="18">
        <v>20</v>
      </c>
      <c r="H439" s="18">
        <v>49</v>
      </c>
      <c r="I439" s="18">
        <v>4</v>
      </c>
      <c r="J439" s="18">
        <v>30</v>
      </c>
      <c r="K439" s="18">
        <v>25</v>
      </c>
      <c r="L439" s="18">
        <v>16</v>
      </c>
      <c r="M439" s="18">
        <v>0</v>
      </c>
      <c r="N439" s="18" t="s">
        <v>32</v>
      </c>
    </row>
    <row r="440" spans="1:14" x14ac:dyDescent="0.25">
      <c r="A440" s="18">
        <f t="shared" si="25"/>
        <v>751</v>
      </c>
      <c r="B440" s="22" t="s">
        <v>468</v>
      </c>
      <c r="C440" s="92">
        <v>43174</v>
      </c>
      <c r="D440" s="19" t="str">
        <f t="shared" si="26"/>
        <v>J</v>
      </c>
      <c r="E440" s="19">
        <f t="shared" si="27"/>
        <v>11</v>
      </c>
      <c r="F440" s="18">
        <v>20</v>
      </c>
      <c r="G440" s="18">
        <v>5</v>
      </c>
      <c r="H440" s="18">
        <v>22</v>
      </c>
      <c r="I440" s="18">
        <v>29</v>
      </c>
      <c r="J440" s="18">
        <v>9</v>
      </c>
      <c r="K440" s="18">
        <v>11</v>
      </c>
      <c r="L440" s="18">
        <v>33</v>
      </c>
      <c r="M440" s="18">
        <v>0</v>
      </c>
      <c r="N440" s="18" t="s">
        <v>32</v>
      </c>
    </row>
    <row r="441" spans="1:14" x14ac:dyDescent="0.25">
      <c r="A441" s="18">
        <f t="shared" si="25"/>
        <v>752</v>
      </c>
      <c r="B441" s="22" t="s">
        <v>469</v>
      </c>
      <c r="C441" s="92">
        <v>43176</v>
      </c>
      <c r="D441" s="19" t="str">
        <f t="shared" si="26"/>
        <v>S</v>
      </c>
      <c r="E441" s="19">
        <f t="shared" si="27"/>
        <v>11</v>
      </c>
      <c r="F441" s="18">
        <v>43</v>
      </c>
      <c r="G441" s="18">
        <v>37</v>
      </c>
      <c r="H441" s="18">
        <v>35</v>
      </c>
      <c r="I441" s="18">
        <v>36</v>
      </c>
      <c r="J441" s="18">
        <v>8</v>
      </c>
      <c r="K441" s="18">
        <v>21</v>
      </c>
      <c r="L441" s="18">
        <v>39</v>
      </c>
      <c r="M441" s="18">
        <v>1</v>
      </c>
      <c r="N441" s="18" t="s">
        <v>32</v>
      </c>
    </row>
    <row r="442" spans="1:14" x14ac:dyDescent="0.25">
      <c r="A442" s="18">
        <f t="shared" si="25"/>
        <v>753</v>
      </c>
      <c r="B442" s="22" t="s">
        <v>470</v>
      </c>
      <c r="C442" s="92">
        <v>43181</v>
      </c>
      <c r="D442" s="19" t="str">
        <f t="shared" si="26"/>
        <v>J</v>
      </c>
      <c r="E442" s="19">
        <f t="shared" si="27"/>
        <v>12</v>
      </c>
      <c r="F442" s="18">
        <v>34</v>
      </c>
      <c r="G442" s="18">
        <v>48</v>
      </c>
      <c r="H442" s="18">
        <v>7</v>
      </c>
      <c r="I442" s="18">
        <v>24</v>
      </c>
      <c r="J442" s="18">
        <v>1</v>
      </c>
      <c r="K442" s="18">
        <v>36</v>
      </c>
      <c r="L442" s="18">
        <v>29</v>
      </c>
      <c r="M442" s="18">
        <v>8</v>
      </c>
      <c r="N442" s="18" t="s">
        <v>32</v>
      </c>
    </row>
    <row r="443" spans="1:14" x14ac:dyDescent="0.25">
      <c r="A443" s="18">
        <f t="shared" si="25"/>
        <v>754</v>
      </c>
      <c r="B443" s="22" t="s">
        <v>471</v>
      </c>
      <c r="C443" s="92">
        <v>43183</v>
      </c>
      <c r="D443" s="19" t="str">
        <f t="shared" si="26"/>
        <v>S</v>
      </c>
      <c r="E443" s="19">
        <f t="shared" si="27"/>
        <v>12</v>
      </c>
      <c r="F443" s="18">
        <v>48</v>
      </c>
      <c r="G443" s="18">
        <v>39</v>
      </c>
      <c r="H443" s="18">
        <v>27</v>
      </c>
      <c r="I443" s="18">
        <v>23</v>
      </c>
      <c r="J443" s="18">
        <v>43</v>
      </c>
      <c r="K443" s="18">
        <v>29</v>
      </c>
      <c r="L443" s="18">
        <v>21</v>
      </c>
      <c r="M443" s="18">
        <v>3</v>
      </c>
      <c r="N443" s="18" t="s">
        <v>32</v>
      </c>
    </row>
    <row r="444" spans="1:14" x14ac:dyDescent="0.25">
      <c r="A444" s="18">
        <f t="shared" si="25"/>
        <v>755</v>
      </c>
      <c r="B444" s="22" t="s">
        <v>472</v>
      </c>
      <c r="C444" s="92">
        <f>+C442+7</f>
        <v>43188</v>
      </c>
      <c r="D444" s="19" t="str">
        <f t="shared" si="26"/>
        <v>J</v>
      </c>
      <c r="E444" s="19">
        <f t="shared" si="27"/>
        <v>13</v>
      </c>
      <c r="F444" s="18">
        <v>15</v>
      </c>
      <c r="G444" s="18">
        <v>38</v>
      </c>
      <c r="H444" s="18">
        <v>17</v>
      </c>
      <c r="I444" s="18">
        <v>2</v>
      </c>
      <c r="J444" s="18">
        <v>19</v>
      </c>
      <c r="K444" s="18">
        <v>26</v>
      </c>
      <c r="L444" s="18">
        <v>33</v>
      </c>
      <c r="M444" s="18">
        <v>3</v>
      </c>
      <c r="N444" s="18" t="s">
        <v>32</v>
      </c>
    </row>
    <row r="445" spans="1:14" x14ac:dyDescent="0.25">
      <c r="A445" s="18">
        <f t="shared" si="25"/>
        <v>756</v>
      </c>
      <c r="B445" s="22" t="s">
        <v>473</v>
      </c>
      <c r="C445" s="92">
        <v>43190</v>
      </c>
      <c r="D445" s="19" t="str">
        <f t="shared" si="26"/>
        <v>S</v>
      </c>
      <c r="E445" s="19">
        <f t="shared" si="27"/>
        <v>13</v>
      </c>
      <c r="F445" s="18">
        <v>14</v>
      </c>
      <c r="G445" s="18">
        <v>24</v>
      </c>
      <c r="H445" s="18">
        <v>26</v>
      </c>
      <c r="I445" s="18">
        <v>41</v>
      </c>
      <c r="J445" s="18">
        <v>22</v>
      </c>
      <c r="K445" s="18">
        <v>31</v>
      </c>
      <c r="L445" s="18">
        <v>39</v>
      </c>
      <c r="M445" s="18">
        <v>6</v>
      </c>
      <c r="N445" s="18" t="s">
        <v>32</v>
      </c>
    </row>
    <row r="446" spans="1:14" x14ac:dyDescent="0.25">
      <c r="A446" s="18">
        <f t="shared" si="25"/>
        <v>757</v>
      </c>
      <c r="B446" s="22" t="s">
        <v>474</v>
      </c>
      <c r="C446" s="92">
        <f>+C444+7</f>
        <v>43195</v>
      </c>
      <c r="D446" s="19" t="str">
        <f t="shared" si="26"/>
        <v>J</v>
      </c>
      <c r="E446" s="19">
        <f t="shared" si="27"/>
        <v>14</v>
      </c>
      <c r="F446" s="18">
        <v>49</v>
      </c>
      <c r="G446" s="18">
        <v>23</v>
      </c>
      <c r="H446" s="18">
        <v>31</v>
      </c>
      <c r="I446" s="18">
        <v>11</v>
      </c>
      <c r="J446" s="18">
        <v>16</v>
      </c>
      <c r="K446" s="18">
        <v>47</v>
      </c>
      <c r="L446" s="18">
        <v>26</v>
      </c>
      <c r="M446" s="18">
        <v>0</v>
      </c>
      <c r="N446" s="18" t="s">
        <v>32</v>
      </c>
    </row>
    <row r="447" spans="1:14" x14ac:dyDescent="0.25">
      <c r="A447" s="18">
        <f t="shared" si="25"/>
        <v>758</v>
      </c>
      <c r="B447" s="22" t="s">
        <v>475</v>
      </c>
      <c r="C447" s="92">
        <v>43197</v>
      </c>
      <c r="D447" s="19" t="str">
        <f t="shared" si="26"/>
        <v>S</v>
      </c>
      <c r="E447" s="19">
        <f t="shared" si="27"/>
        <v>14</v>
      </c>
      <c r="F447" s="18">
        <v>40</v>
      </c>
      <c r="G447" s="18">
        <v>24</v>
      </c>
      <c r="H447" s="18">
        <v>25</v>
      </c>
      <c r="I447" s="18">
        <v>43</v>
      </c>
      <c r="J447" s="18">
        <v>34</v>
      </c>
      <c r="K447" s="18">
        <v>41</v>
      </c>
      <c r="L447" s="18">
        <v>6</v>
      </c>
      <c r="M447" s="18">
        <v>4</v>
      </c>
      <c r="N447" s="18" t="s">
        <v>32</v>
      </c>
    </row>
    <row r="448" spans="1:14" x14ac:dyDescent="0.25">
      <c r="A448" s="18">
        <f t="shared" si="25"/>
        <v>759</v>
      </c>
      <c r="B448" s="22" t="s">
        <v>476</v>
      </c>
      <c r="C448" s="92">
        <f>+C446+7</f>
        <v>43202</v>
      </c>
      <c r="D448" s="19" t="str">
        <f t="shared" si="26"/>
        <v>J</v>
      </c>
      <c r="E448" s="19">
        <f t="shared" si="27"/>
        <v>15</v>
      </c>
      <c r="F448" s="18">
        <v>34</v>
      </c>
      <c r="G448" s="18">
        <v>12</v>
      </c>
      <c r="H448" s="18">
        <v>18</v>
      </c>
      <c r="I448" s="18">
        <v>41</v>
      </c>
      <c r="J448" s="18">
        <v>35</v>
      </c>
      <c r="K448" s="18">
        <v>7</v>
      </c>
      <c r="L448" s="18">
        <v>48</v>
      </c>
      <c r="M448" s="18">
        <v>1</v>
      </c>
      <c r="N448" s="18" t="s">
        <v>32</v>
      </c>
    </row>
    <row r="449" spans="1:14" x14ac:dyDescent="0.25">
      <c r="A449" s="18">
        <f t="shared" si="25"/>
        <v>760</v>
      </c>
      <c r="B449" s="22" t="s">
        <v>477</v>
      </c>
      <c r="C449" s="92">
        <v>43204</v>
      </c>
      <c r="D449" s="19" t="str">
        <f t="shared" si="26"/>
        <v>S</v>
      </c>
      <c r="E449" s="19">
        <f t="shared" si="27"/>
        <v>15</v>
      </c>
      <c r="F449" s="18">
        <v>17</v>
      </c>
      <c r="G449" s="18">
        <v>3</v>
      </c>
      <c r="H449" s="18">
        <v>24</v>
      </c>
      <c r="I449" s="18">
        <v>22</v>
      </c>
      <c r="J449" s="18">
        <v>20</v>
      </c>
      <c r="K449" s="18">
        <v>34</v>
      </c>
      <c r="L449" s="18">
        <v>4</v>
      </c>
      <c r="M449" s="18">
        <v>3</v>
      </c>
      <c r="N449" s="18" t="s">
        <v>32</v>
      </c>
    </row>
    <row r="450" spans="1:14" x14ac:dyDescent="0.25">
      <c r="A450" s="18">
        <f t="shared" si="25"/>
        <v>761</v>
      </c>
      <c r="B450" s="22" t="s">
        <v>478</v>
      </c>
      <c r="C450" s="92">
        <v>43209</v>
      </c>
      <c r="D450" s="19" t="str">
        <f t="shared" si="26"/>
        <v>J</v>
      </c>
      <c r="E450" s="19">
        <f t="shared" si="27"/>
        <v>16</v>
      </c>
      <c r="F450" s="18">
        <v>45</v>
      </c>
      <c r="G450" s="18">
        <v>19</v>
      </c>
      <c r="H450" s="18">
        <v>43</v>
      </c>
      <c r="I450" s="18">
        <v>46</v>
      </c>
      <c r="J450" s="18">
        <v>10</v>
      </c>
      <c r="K450" s="18">
        <v>33</v>
      </c>
      <c r="L450" s="18">
        <v>32</v>
      </c>
      <c r="M450" s="18">
        <v>2</v>
      </c>
      <c r="N450" s="18" t="s">
        <v>32</v>
      </c>
    </row>
    <row r="451" spans="1:14" x14ac:dyDescent="0.25">
      <c r="A451" s="18">
        <f t="shared" si="25"/>
        <v>762</v>
      </c>
      <c r="B451" s="23" t="s">
        <v>479</v>
      </c>
      <c r="C451" s="92">
        <f>+C449+7</f>
        <v>43211</v>
      </c>
      <c r="D451" s="19" t="str">
        <f t="shared" si="26"/>
        <v>S</v>
      </c>
      <c r="E451" s="19">
        <f t="shared" si="27"/>
        <v>16</v>
      </c>
      <c r="F451" s="18">
        <v>42</v>
      </c>
      <c r="G451" s="18">
        <v>17</v>
      </c>
      <c r="H451" s="18">
        <v>43</v>
      </c>
      <c r="I451" s="18">
        <v>8</v>
      </c>
      <c r="J451" s="18">
        <v>19</v>
      </c>
      <c r="K451" s="18">
        <v>29</v>
      </c>
      <c r="L451" s="18">
        <v>40</v>
      </c>
      <c r="M451" s="18">
        <v>6</v>
      </c>
      <c r="N451" s="18" t="s">
        <v>32</v>
      </c>
    </row>
    <row r="452" spans="1:14" x14ac:dyDescent="0.25">
      <c r="A452" s="18">
        <f t="shared" ref="A452:A515" si="28">+A451+1</f>
        <v>763</v>
      </c>
      <c r="B452" s="22" t="s">
        <v>480</v>
      </c>
      <c r="C452" s="92">
        <v>43216</v>
      </c>
      <c r="D452" s="19" t="str">
        <f t="shared" si="26"/>
        <v>J</v>
      </c>
      <c r="E452" s="19">
        <f t="shared" si="27"/>
        <v>17</v>
      </c>
      <c r="F452" s="18">
        <v>36</v>
      </c>
      <c r="G452" s="18">
        <v>11</v>
      </c>
      <c r="H452" s="18">
        <v>4</v>
      </c>
      <c r="I452" s="18">
        <v>25</v>
      </c>
      <c r="J452" s="18">
        <v>49</v>
      </c>
      <c r="K452" s="18">
        <v>40</v>
      </c>
      <c r="L452" s="18">
        <v>26</v>
      </c>
      <c r="M452" s="18">
        <v>1</v>
      </c>
      <c r="N452" s="18" t="s">
        <v>32</v>
      </c>
    </row>
    <row r="453" spans="1:14" x14ac:dyDescent="0.25">
      <c r="A453" s="18">
        <f t="shared" si="28"/>
        <v>764</v>
      </c>
      <c r="B453" s="22" t="s">
        <v>481</v>
      </c>
      <c r="C453" s="92">
        <f>+C451+7</f>
        <v>43218</v>
      </c>
      <c r="D453" s="19" t="str">
        <f t="shared" si="26"/>
        <v>S</v>
      </c>
      <c r="E453" s="19">
        <f t="shared" si="27"/>
        <v>17</v>
      </c>
      <c r="F453" s="18">
        <v>35</v>
      </c>
      <c r="G453" s="18">
        <v>7</v>
      </c>
      <c r="H453" s="18">
        <v>25</v>
      </c>
      <c r="I453" s="18">
        <v>39</v>
      </c>
      <c r="J453" s="18">
        <v>37</v>
      </c>
      <c r="K453" s="18">
        <v>31</v>
      </c>
      <c r="L453" s="18">
        <v>42</v>
      </c>
      <c r="M453" s="18">
        <v>5</v>
      </c>
      <c r="N453" s="18" t="s">
        <v>32</v>
      </c>
    </row>
    <row r="454" spans="1:14" x14ac:dyDescent="0.25">
      <c r="A454" s="18">
        <f t="shared" si="28"/>
        <v>765</v>
      </c>
      <c r="B454" s="21" t="s">
        <v>482</v>
      </c>
      <c r="C454" s="92">
        <v>43223</v>
      </c>
      <c r="D454" s="19" t="str">
        <f t="shared" si="26"/>
        <v>J</v>
      </c>
      <c r="E454" s="19">
        <f t="shared" si="27"/>
        <v>18</v>
      </c>
      <c r="F454" s="18">
        <v>40</v>
      </c>
      <c r="G454" s="18">
        <v>28</v>
      </c>
      <c r="H454" s="18">
        <v>2</v>
      </c>
      <c r="I454" s="18">
        <v>17</v>
      </c>
      <c r="J454" s="18">
        <v>35</v>
      </c>
      <c r="K454" s="18">
        <v>18</v>
      </c>
      <c r="L454" s="18">
        <v>16</v>
      </c>
      <c r="M454" s="18">
        <v>6</v>
      </c>
      <c r="N454" s="18" t="s">
        <v>32</v>
      </c>
    </row>
    <row r="455" spans="1:14" x14ac:dyDescent="0.25">
      <c r="A455" s="18">
        <f t="shared" si="28"/>
        <v>766</v>
      </c>
      <c r="B455" s="20" t="s">
        <v>483</v>
      </c>
      <c r="C455" s="92">
        <v>43225</v>
      </c>
      <c r="D455" s="19" t="str">
        <f t="shared" si="26"/>
        <v>S</v>
      </c>
      <c r="E455" s="19">
        <f t="shared" si="27"/>
        <v>18</v>
      </c>
      <c r="F455" s="18">
        <v>26</v>
      </c>
      <c r="G455" s="18">
        <v>32</v>
      </c>
      <c r="H455" s="18">
        <v>34</v>
      </c>
      <c r="I455" s="18">
        <v>1</v>
      </c>
      <c r="J455" s="18">
        <v>33</v>
      </c>
      <c r="K455" s="18">
        <v>19</v>
      </c>
      <c r="L455" s="18">
        <v>25</v>
      </c>
      <c r="M455" s="18">
        <v>2</v>
      </c>
      <c r="N455" s="18" t="s">
        <v>32</v>
      </c>
    </row>
    <row r="456" spans="1:14" x14ac:dyDescent="0.25">
      <c r="A456" s="18">
        <f t="shared" si="28"/>
        <v>767</v>
      </c>
      <c r="B456" s="20" t="s">
        <v>484</v>
      </c>
      <c r="C456" s="92">
        <v>43230</v>
      </c>
      <c r="D456" s="19" t="str">
        <f t="shared" si="26"/>
        <v>J</v>
      </c>
      <c r="E456" s="19">
        <f t="shared" si="27"/>
        <v>19</v>
      </c>
      <c r="F456" s="18">
        <v>22</v>
      </c>
      <c r="G456" s="18">
        <v>23</v>
      </c>
      <c r="H456" s="18">
        <v>11</v>
      </c>
      <c r="I456" s="18">
        <v>1</v>
      </c>
      <c r="J456" s="18">
        <v>39</v>
      </c>
      <c r="K456" s="18">
        <v>38</v>
      </c>
      <c r="L456" s="18">
        <v>7</v>
      </c>
      <c r="M456" s="18">
        <v>1</v>
      </c>
      <c r="N456" s="18" t="s">
        <v>32</v>
      </c>
    </row>
    <row r="457" spans="1:14" x14ac:dyDescent="0.25">
      <c r="A457" s="18">
        <f t="shared" si="28"/>
        <v>768</v>
      </c>
      <c r="B457" s="20" t="s">
        <v>485</v>
      </c>
      <c r="C457" s="92">
        <v>43232</v>
      </c>
      <c r="D457" s="19" t="str">
        <f t="shared" si="26"/>
        <v>S</v>
      </c>
      <c r="E457" s="19">
        <f t="shared" si="27"/>
        <v>19</v>
      </c>
      <c r="F457" s="18">
        <v>15</v>
      </c>
      <c r="G457" s="18">
        <v>9</v>
      </c>
      <c r="H457" s="18">
        <v>37</v>
      </c>
      <c r="I457" s="18">
        <v>23</v>
      </c>
      <c r="J457" s="18">
        <v>3</v>
      </c>
      <c r="K457" s="18">
        <v>27</v>
      </c>
      <c r="L457" s="18">
        <v>11</v>
      </c>
      <c r="M457" s="18">
        <v>2</v>
      </c>
      <c r="N457" s="18" t="s">
        <v>32</v>
      </c>
    </row>
    <row r="458" spans="1:14" x14ac:dyDescent="0.25">
      <c r="A458" s="18">
        <f t="shared" si="28"/>
        <v>769</v>
      </c>
      <c r="B458" s="20" t="s">
        <v>486</v>
      </c>
      <c r="C458" s="92">
        <v>43237</v>
      </c>
      <c r="D458" s="19" t="str">
        <f t="shared" si="26"/>
        <v>J</v>
      </c>
      <c r="E458" s="19">
        <f t="shared" si="27"/>
        <v>20</v>
      </c>
      <c r="F458" s="18">
        <v>26</v>
      </c>
      <c r="G458" s="18">
        <v>24</v>
      </c>
      <c r="H458" s="18">
        <v>23</v>
      </c>
      <c r="I458" s="18">
        <v>25</v>
      </c>
      <c r="J458" s="18">
        <v>35</v>
      </c>
      <c r="K458" s="18">
        <v>32</v>
      </c>
      <c r="L458" s="18">
        <v>22</v>
      </c>
      <c r="M458" s="18">
        <v>4</v>
      </c>
      <c r="N458" s="18" t="s">
        <v>32</v>
      </c>
    </row>
    <row r="459" spans="1:14" x14ac:dyDescent="0.25">
      <c r="A459" s="18">
        <f t="shared" si="28"/>
        <v>770</v>
      </c>
      <c r="B459" s="20" t="s">
        <v>487</v>
      </c>
      <c r="C459" s="92">
        <v>43239</v>
      </c>
      <c r="D459" s="19" t="str">
        <f t="shared" si="26"/>
        <v>S</v>
      </c>
      <c r="E459" s="19">
        <f t="shared" si="27"/>
        <v>20</v>
      </c>
      <c r="F459" s="18">
        <v>8</v>
      </c>
      <c r="G459" s="18">
        <v>31</v>
      </c>
      <c r="H459" s="18">
        <v>33</v>
      </c>
      <c r="I459" s="18">
        <v>5</v>
      </c>
      <c r="J459" s="18">
        <v>32</v>
      </c>
      <c r="K459" s="18">
        <v>20</v>
      </c>
      <c r="L459" s="18">
        <v>28</v>
      </c>
      <c r="M459" s="18">
        <v>6</v>
      </c>
      <c r="N459" s="18" t="s">
        <v>32</v>
      </c>
    </row>
    <row r="460" spans="1:14" x14ac:dyDescent="0.25">
      <c r="A460" s="18">
        <f t="shared" si="28"/>
        <v>771</v>
      </c>
      <c r="B460" s="20" t="s">
        <v>488</v>
      </c>
      <c r="C460" s="92">
        <v>43244</v>
      </c>
      <c r="D460" s="19" t="str">
        <f t="shared" si="26"/>
        <v>J</v>
      </c>
      <c r="E460" s="19">
        <f t="shared" si="27"/>
        <v>21</v>
      </c>
      <c r="F460" s="18">
        <v>28</v>
      </c>
      <c r="G460" s="18">
        <v>1</v>
      </c>
      <c r="H460" s="18">
        <v>31</v>
      </c>
      <c r="I460" s="18">
        <v>40</v>
      </c>
      <c r="J460" s="18">
        <v>34</v>
      </c>
      <c r="K460" s="18">
        <v>35</v>
      </c>
      <c r="L460" s="18">
        <v>46</v>
      </c>
      <c r="M460" s="18">
        <v>4</v>
      </c>
      <c r="N460" s="18" t="s">
        <v>32</v>
      </c>
    </row>
    <row r="461" spans="1:14" x14ac:dyDescent="0.25">
      <c r="A461" s="18">
        <f t="shared" si="28"/>
        <v>772</v>
      </c>
      <c r="B461" s="20" t="s">
        <v>489</v>
      </c>
      <c r="C461" s="92">
        <v>43246</v>
      </c>
      <c r="D461" s="19" t="str">
        <f t="shared" si="26"/>
        <v>S</v>
      </c>
      <c r="E461" s="19">
        <f t="shared" si="27"/>
        <v>21</v>
      </c>
      <c r="F461" s="18">
        <v>30</v>
      </c>
      <c r="G461" s="18">
        <v>39</v>
      </c>
      <c r="H461" s="18">
        <v>36</v>
      </c>
      <c r="I461" s="18">
        <v>26</v>
      </c>
      <c r="J461" s="18">
        <v>13</v>
      </c>
      <c r="K461" s="18">
        <v>35</v>
      </c>
      <c r="L461" s="18">
        <v>11</v>
      </c>
      <c r="M461" s="18">
        <v>0</v>
      </c>
      <c r="N461" s="18" t="s">
        <v>32</v>
      </c>
    </row>
    <row r="462" spans="1:14" x14ac:dyDescent="0.25">
      <c r="A462" s="18">
        <f t="shared" si="28"/>
        <v>773</v>
      </c>
      <c r="B462" s="20" t="s">
        <v>490</v>
      </c>
      <c r="C462" s="92">
        <v>43251</v>
      </c>
      <c r="D462" s="19" t="str">
        <f t="shared" si="26"/>
        <v>J</v>
      </c>
      <c r="E462" s="19">
        <f t="shared" si="27"/>
        <v>22</v>
      </c>
      <c r="F462" s="18">
        <v>11</v>
      </c>
      <c r="G462" s="18">
        <v>16</v>
      </c>
      <c r="H462" s="18">
        <v>17</v>
      </c>
      <c r="I462" s="18">
        <v>44</v>
      </c>
      <c r="J462" s="18">
        <v>7</v>
      </c>
      <c r="K462" s="18">
        <v>2</v>
      </c>
      <c r="L462" s="18">
        <v>14</v>
      </c>
      <c r="M462" s="18">
        <v>7</v>
      </c>
      <c r="N462" s="18" t="s">
        <v>32</v>
      </c>
    </row>
    <row r="463" spans="1:14" x14ac:dyDescent="0.25">
      <c r="A463" s="18">
        <f t="shared" si="28"/>
        <v>774</v>
      </c>
      <c r="B463" s="20" t="s">
        <v>491</v>
      </c>
      <c r="C463" s="92">
        <v>43253</v>
      </c>
      <c r="D463" s="19" t="str">
        <f t="shared" si="26"/>
        <v>S</v>
      </c>
      <c r="E463" s="19">
        <f t="shared" si="27"/>
        <v>22</v>
      </c>
      <c r="F463" s="18">
        <v>10</v>
      </c>
      <c r="G463" s="18">
        <v>41</v>
      </c>
      <c r="H463" s="18">
        <v>12</v>
      </c>
      <c r="I463" s="18">
        <v>32</v>
      </c>
      <c r="J463" s="18">
        <v>7</v>
      </c>
      <c r="K463" s="18">
        <v>38</v>
      </c>
      <c r="L463" s="18">
        <v>27</v>
      </c>
      <c r="M463" s="18">
        <v>9</v>
      </c>
      <c r="N463" s="18" t="s">
        <v>32</v>
      </c>
    </row>
    <row r="464" spans="1:14" x14ac:dyDescent="0.25">
      <c r="A464" s="18">
        <f t="shared" si="28"/>
        <v>775</v>
      </c>
      <c r="B464" s="20" t="s">
        <v>492</v>
      </c>
      <c r="C464" s="92">
        <v>43258</v>
      </c>
      <c r="D464" s="19" t="str">
        <f t="shared" si="26"/>
        <v>J</v>
      </c>
      <c r="E464" s="19">
        <f t="shared" si="27"/>
        <v>23</v>
      </c>
      <c r="F464" s="18">
        <v>1</v>
      </c>
      <c r="G464" s="18">
        <v>25</v>
      </c>
      <c r="H464" s="18">
        <v>28</v>
      </c>
      <c r="I464" s="18">
        <v>17</v>
      </c>
      <c r="J464" s="18">
        <v>44</v>
      </c>
      <c r="K464" s="18">
        <v>9</v>
      </c>
      <c r="L464" s="18">
        <v>21</v>
      </c>
      <c r="M464" s="18">
        <v>4</v>
      </c>
      <c r="N464" s="18" t="s">
        <v>32</v>
      </c>
    </row>
    <row r="465" spans="1:14" x14ac:dyDescent="0.25">
      <c r="A465" s="18">
        <f t="shared" si="28"/>
        <v>776</v>
      </c>
      <c r="B465" s="20" t="s">
        <v>493</v>
      </c>
      <c r="C465" s="92">
        <v>43260</v>
      </c>
      <c r="D465" s="19" t="str">
        <f t="shared" si="26"/>
        <v>S</v>
      </c>
      <c r="E465" s="19">
        <f t="shared" si="27"/>
        <v>23</v>
      </c>
      <c r="F465" s="18">
        <v>13</v>
      </c>
      <c r="G465" s="18">
        <v>26</v>
      </c>
      <c r="H465" s="18">
        <v>35</v>
      </c>
      <c r="I465" s="18">
        <v>29</v>
      </c>
      <c r="J465" s="18">
        <v>9</v>
      </c>
      <c r="K465" s="18">
        <v>2</v>
      </c>
      <c r="L465" s="18">
        <v>24</v>
      </c>
      <c r="M465" s="18">
        <v>1</v>
      </c>
      <c r="N465" s="18" t="s">
        <v>32</v>
      </c>
    </row>
    <row r="466" spans="1:14" x14ac:dyDescent="0.25">
      <c r="A466" s="18">
        <f t="shared" si="28"/>
        <v>777</v>
      </c>
      <c r="B466" s="20" t="s">
        <v>494</v>
      </c>
      <c r="C466" s="92">
        <v>43265</v>
      </c>
      <c r="D466" s="19" t="str">
        <f t="shared" si="26"/>
        <v>J</v>
      </c>
      <c r="E466" s="19">
        <f t="shared" si="27"/>
        <v>24</v>
      </c>
      <c r="F466" s="18">
        <v>40</v>
      </c>
      <c r="G466" s="18">
        <v>35</v>
      </c>
      <c r="H466" s="18">
        <v>41</v>
      </c>
      <c r="I466" s="18">
        <v>18</v>
      </c>
      <c r="J466" s="18">
        <v>49</v>
      </c>
      <c r="K466" s="18">
        <v>7</v>
      </c>
      <c r="L466" s="18">
        <v>33</v>
      </c>
      <c r="M466" s="18">
        <v>8</v>
      </c>
      <c r="N466" s="18" t="s">
        <v>32</v>
      </c>
    </row>
    <row r="467" spans="1:14" x14ac:dyDescent="0.25">
      <c r="A467" s="18">
        <f t="shared" si="28"/>
        <v>778</v>
      </c>
      <c r="B467" s="20" t="s">
        <v>495</v>
      </c>
      <c r="C467" s="92">
        <v>43267</v>
      </c>
      <c r="D467" s="19" t="str">
        <f t="shared" si="26"/>
        <v>S</v>
      </c>
      <c r="E467" s="19">
        <f t="shared" si="27"/>
        <v>24</v>
      </c>
      <c r="F467" s="18">
        <v>18</v>
      </c>
      <c r="G467" s="18">
        <v>30</v>
      </c>
      <c r="H467" s="18">
        <v>43</v>
      </c>
      <c r="I467" s="18">
        <v>29</v>
      </c>
      <c r="J467" s="18">
        <v>9</v>
      </c>
      <c r="K467" s="18">
        <v>11</v>
      </c>
      <c r="L467" s="18">
        <v>10</v>
      </c>
      <c r="M467" s="18">
        <v>1</v>
      </c>
      <c r="N467" s="18" t="s">
        <v>32</v>
      </c>
    </row>
    <row r="468" spans="1:14" x14ac:dyDescent="0.25">
      <c r="A468" s="18">
        <f t="shared" si="28"/>
        <v>779</v>
      </c>
      <c r="B468" s="20" t="s">
        <v>496</v>
      </c>
      <c r="C468" s="92">
        <v>43272</v>
      </c>
      <c r="D468" s="19" t="str">
        <f t="shared" si="26"/>
        <v>J</v>
      </c>
      <c r="E468" s="19">
        <f t="shared" si="27"/>
        <v>25</v>
      </c>
      <c r="F468" s="18">
        <v>38</v>
      </c>
      <c r="G468" s="18">
        <v>34</v>
      </c>
      <c r="H468" s="18">
        <v>48</v>
      </c>
      <c r="I468" s="18">
        <v>46</v>
      </c>
      <c r="J468" s="18">
        <v>1</v>
      </c>
      <c r="K468" s="18">
        <v>12</v>
      </c>
      <c r="L468" s="18">
        <v>36</v>
      </c>
      <c r="M468" s="18">
        <v>5</v>
      </c>
      <c r="N468" s="18" t="s">
        <v>32</v>
      </c>
    </row>
    <row r="469" spans="1:14" x14ac:dyDescent="0.25">
      <c r="A469" s="18">
        <f t="shared" si="28"/>
        <v>780</v>
      </c>
      <c r="B469" s="20" t="s">
        <v>497</v>
      </c>
      <c r="C469" s="92">
        <v>43274</v>
      </c>
      <c r="D469" s="19" t="str">
        <f t="shared" si="26"/>
        <v>S</v>
      </c>
      <c r="E469" s="19">
        <f t="shared" si="27"/>
        <v>25</v>
      </c>
      <c r="F469" s="18">
        <v>8</v>
      </c>
      <c r="G469" s="18">
        <v>7</v>
      </c>
      <c r="H469" s="18">
        <v>21</v>
      </c>
      <c r="I469" s="18">
        <v>9</v>
      </c>
      <c r="J469" s="18">
        <v>24</v>
      </c>
      <c r="K469" s="18">
        <v>25</v>
      </c>
      <c r="L469" s="18">
        <v>4</v>
      </c>
      <c r="M469" s="18">
        <v>4</v>
      </c>
      <c r="N469" s="18" t="s">
        <v>32</v>
      </c>
    </row>
    <row r="470" spans="1:14" x14ac:dyDescent="0.25">
      <c r="A470" s="18">
        <f t="shared" si="28"/>
        <v>781</v>
      </c>
      <c r="B470" s="20" t="s">
        <v>498</v>
      </c>
      <c r="C470" s="92">
        <v>43279</v>
      </c>
      <c r="D470" s="19" t="str">
        <f t="shared" si="26"/>
        <v>J</v>
      </c>
      <c r="E470" s="19">
        <f t="shared" si="27"/>
        <v>26</v>
      </c>
      <c r="F470" s="18">
        <v>32</v>
      </c>
      <c r="G470" s="18">
        <v>38</v>
      </c>
      <c r="H470" s="18">
        <v>49</v>
      </c>
      <c r="I470" s="18">
        <v>28</v>
      </c>
      <c r="J470" s="18">
        <v>15</v>
      </c>
      <c r="K470" s="18">
        <v>31</v>
      </c>
      <c r="L470" s="18">
        <v>12</v>
      </c>
      <c r="M470" s="18">
        <v>2</v>
      </c>
      <c r="N470" s="18" t="s">
        <v>32</v>
      </c>
    </row>
    <row r="471" spans="1:14" x14ac:dyDescent="0.25">
      <c r="A471" s="18">
        <f t="shared" si="28"/>
        <v>782</v>
      </c>
      <c r="B471" s="20" t="s">
        <v>499</v>
      </c>
      <c r="C471" s="92">
        <v>43281</v>
      </c>
      <c r="D471" s="19" t="str">
        <f t="shared" si="26"/>
        <v>S</v>
      </c>
      <c r="E471" s="19">
        <f t="shared" si="27"/>
        <v>26</v>
      </c>
      <c r="F471" s="18">
        <v>44</v>
      </c>
      <c r="G471" s="18">
        <v>30</v>
      </c>
      <c r="H471" s="18">
        <v>37</v>
      </c>
      <c r="I471" s="18">
        <v>16</v>
      </c>
      <c r="J471" s="18">
        <v>14</v>
      </c>
      <c r="K471" s="18">
        <v>5</v>
      </c>
      <c r="L471" s="18">
        <v>23</v>
      </c>
      <c r="M471" s="18">
        <v>3</v>
      </c>
      <c r="N471" s="18" t="s">
        <v>32</v>
      </c>
    </row>
    <row r="472" spans="1:14" x14ac:dyDescent="0.25">
      <c r="A472" s="18">
        <f t="shared" si="28"/>
        <v>783</v>
      </c>
      <c r="B472" s="20" t="s">
        <v>500</v>
      </c>
      <c r="C472" s="92">
        <v>43286</v>
      </c>
      <c r="D472" s="19" t="str">
        <f t="shared" si="26"/>
        <v>J</v>
      </c>
      <c r="E472" s="19">
        <f t="shared" si="27"/>
        <v>27</v>
      </c>
      <c r="F472" s="18">
        <v>11</v>
      </c>
      <c r="G472" s="18">
        <v>13</v>
      </c>
      <c r="H472" s="18">
        <v>31</v>
      </c>
      <c r="I472" s="18">
        <v>47</v>
      </c>
      <c r="J472" s="18">
        <v>49</v>
      </c>
      <c r="K472" s="18">
        <v>32</v>
      </c>
      <c r="L472" s="18">
        <v>1</v>
      </c>
      <c r="M472" s="18">
        <v>4</v>
      </c>
      <c r="N472" s="18" t="s">
        <v>32</v>
      </c>
    </row>
    <row r="473" spans="1:14" x14ac:dyDescent="0.25">
      <c r="A473" s="18">
        <f t="shared" si="28"/>
        <v>784</v>
      </c>
      <c r="B473" s="20" t="s">
        <v>501</v>
      </c>
      <c r="C473" s="92">
        <v>43288</v>
      </c>
      <c r="D473" s="19" t="str">
        <f t="shared" si="26"/>
        <v>S</v>
      </c>
      <c r="E473" s="19">
        <f t="shared" si="27"/>
        <v>27</v>
      </c>
      <c r="F473" s="18">
        <v>42</v>
      </c>
      <c r="G473" s="18">
        <v>6</v>
      </c>
      <c r="H473" s="18">
        <v>44</v>
      </c>
      <c r="I473" s="18">
        <v>11</v>
      </c>
      <c r="J473" s="18">
        <v>10</v>
      </c>
      <c r="K473" s="18">
        <v>9</v>
      </c>
      <c r="L473" s="18">
        <v>21</v>
      </c>
      <c r="M473" s="18">
        <v>4</v>
      </c>
      <c r="N473" s="18" t="s">
        <v>32</v>
      </c>
    </row>
    <row r="474" spans="1:14" x14ac:dyDescent="0.25">
      <c r="A474" s="18">
        <f t="shared" si="28"/>
        <v>785</v>
      </c>
      <c r="B474" s="20" t="s">
        <v>502</v>
      </c>
      <c r="C474" s="92">
        <v>43293</v>
      </c>
      <c r="D474" s="19" t="str">
        <f t="shared" ref="D474:D493" si="29">CHOOSE(WEEKDAY(C474),"D","L","M","X","J","V","S")</f>
        <v>J</v>
      </c>
      <c r="E474" s="19">
        <f t="shared" ref="E474:E493" si="30">WEEKNUM(C474,21)</f>
        <v>28</v>
      </c>
      <c r="F474" s="19">
        <v>47</v>
      </c>
      <c r="G474" s="18">
        <v>32</v>
      </c>
      <c r="H474" s="18">
        <v>25</v>
      </c>
      <c r="I474" s="18">
        <v>20</v>
      </c>
      <c r="J474" s="18">
        <v>10</v>
      </c>
      <c r="K474" s="18">
        <v>26</v>
      </c>
      <c r="L474" s="18">
        <v>2</v>
      </c>
      <c r="M474" s="18">
        <v>4</v>
      </c>
      <c r="N474" s="18" t="s">
        <v>32</v>
      </c>
    </row>
    <row r="475" spans="1:14" x14ac:dyDescent="0.25">
      <c r="A475" s="18">
        <f t="shared" si="28"/>
        <v>786</v>
      </c>
      <c r="B475" s="20" t="s">
        <v>503</v>
      </c>
      <c r="C475" s="92">
        <v>43295</v>
      </c>
      <c r="D475" s="19" t="str">
        <f t="shared" si="29"/>
        <v>S</v>
      </c>
      <c r="E475" s="19">
        <f t="shared" si="30"/>
        <v>28</v>
      </c>
      <c r="F475" s="19">
        <v>40</v>
      </c>
      <c r="G475" s="18">
        <v>2</v>
      </c>
      <c r="H475" s="18">
        <v>12</v>
      </c>
      <c r="I475" s="18">
        <v>16</v>
      </c>
      <c r="J475" s="18">
        <v>27</v>
      </c>
      <c r="K475" s="18">
        <v>18</v>
      </c>
      <c r="L475" s="18">
        <v>33</v>
      </c>
      <c r="M475" s="18">
        <v>5</v>
      </c>
      <c r="N475" s="18" t="s">
        <v>32</v>
      </c>
    </row>
    <row r="476" spans="1:14" x14ac:dyDescent="0.25">
      <c r="A476" s="18">
        <f t="shared" si="28"/>
        <v>787</v>
      </c>
      <c r="B476" s="20" t="s">
        <v>504</v>
      </c>
      <c r="C476" s="92">
        <v>43300</v>
      </c>
      <c r="D476" s="19" t="str">
        <f t="shared" si="29"/>
        <v>J</v>
      </c>
      <c r="E476" s="19">
        <f t="shared" si="30"/>
        <v>29</v>
      </c>
      <c r="F476" s="19">
        <v>4</v>
      </c>
      <c r="G476" s="18">
        <v>49</v>
      </c>
      <c r="H476" s="18">
        <v>9</v>
      </c>
      <c r="I476" s="18">
        <v>39</v>
      </c>
      <c r="J476" s="18">
        <v>5</v>
      </c>
      <c r="K476" s="18">
        <v>22</v>
      </c>
      <c r="L476" s="18">
        <v>28</v>
      </c>
      <c r="M476" s="18">
        <v>1</v>
      </c>
      <c r="N476" s="18" t="s">
        <v>32</v>
      </c>
    </row>
    <row r="477" spans="1:14" x14ac:dyDescent="0.25">
      <c r="A477" s="18">
        <f t="shared" si="28"/>
        <v>788</v>
      </c>
      <c r="B477" s="20" t="s">
        <v>505</v>
      </c>
      <c r="C477" s="92">
        <v>43302</v>
      </c>
      <c r="D477" s="19" t="str">
        <f t="shared" si="29"/>
        <v>S</v>
      </c>
      <c r="E477" s="19">
        <f t="shared" si="30"/>
        <v>29</v>
      </c>
      <c r="F477" s="19">
        <v>18</v>
      </c>
      <c r="G477" s="18">
        <v>33</v>
      </c>
      <c r="H477" s="18">
        <v>24</v>
      </c>
      <c r="I477" s="18">
        <v>2</v>
      </c>
      <c r="J477" s="18">
        <v>36</v>
      </c>
      <c r="K477" s="18">
        <v>28</v>
      </c>
      <c r="L477" s="18">
        <v>47</v>
      </c>
      <c r="M477" s="18">
        <v>8</v>
      </c>
      <c r="N477" s="18" t="s">
        <v>32</v>
      </c>
    </row>
    <row r="478" spans="1:14" x14ac:dyDescent="0.25">
      <c r="A478" s="18">
        <f t="shared" si="28"/>
        <v>789</v>
      </c>
      <c r="B478" s="20" t="s">
        <v>506</v>
      </c>
      <c r="C478" s="92">
        <v>43307</v>
      </c>
      <c r="D478" s="19" t="str">
        <f t="shared" si="29"/>
        <v>J</v>
      </c>
      <c r="E478" s="19">
        <f t="shared" si="30"/>
        <v>30</v>
      </c>
      <c r="F478" s="19">
        <v>32</v>
      </c>
      <c r="G478" s="18">
        <v>40</v>
      </c>
      <c r="H478" s="18">
        <v>25</v>
      </c>
      <c r="I478" s="18">
        <v>13</v>
      </c>
      <c r="J478" s="18">
        <v>38</v>
      </c>
      <c r="K478" s="18">
        <v>31</v>
      </c>
      <c r="L478" s="18">
        <v>15</v>
      </c>
      <c r="M478" s="18">
        <v>7</v>
      </c>
      <c r="N478" s="18" t="s">
        <v>32</v>
      </c>
    </row>
    <row r="479" spans="1:14" x14ac:dyDescent="0.25">
      <c r="A479" s="18">
        <f t="shared" si="28"/>
        <v>790</v>
      </c>
      <c r="B479" s="20" t="s">
        <v>507</v>
      </c>
      <c r="C479" s="92">
        <v>43309</v>
      </c>
      <c r="D479" s="19" t="str">
        <f t="shared" si="29"/>
        <v>S</v>
      </c>
      <c r="E479" s="19">
        <f t="shared" si="30"/>
        <v>30</v>
      </c>
      <c r="F479" s="19">
        <v>2</v>
      </c>
      <c r="G479" s="18">
        <v>12</v>
      </c>
      <c r="H479" s="18">
        <v>46</v>
      </c>
      <c r="I479" s="18">
        <v>10</v>
      </c>
      <c r="J479" s="18">
        <v>43</v>
      </c>
      <c r="K479" s="18">
        <v>20</v>
      </c>
      <c r="L479" s="18">
        <v>40</v>
      </c>
      <c r="M479" s="18">
        <v>7</v>
      </c>
      <c r="N479" s="18" t="s">
        <v>32</v>
      </c>
    </row>
    <row r="480" spans="1:14" x14ac:dyDescent="0.25">
      <c r="A480" s="18">
        <f t="shared" si="28"/>
        <v>791</v>
      </c>
      <c r="B480" s="20" t="s">
        <v>508</v>
      </c>
      <c r="C480" s="92">
        <v>43314</v>
      </c>
      <c r="D480" s="19" t="str">
        <f t="shared" si="29"/>
        <v>J</v>
      </c>
      <c r="E480" s="19">
        <f t="shared" si="30"/>
        <v>31</v>
      </c>
      <c r="F480" s="19">
        <v>10</v>
      </c>
      <c r="G480" s="18">
        <v>38</v>
      </c>
      <c r="H480" s="18">
        <v>25</v>
      </c>
      <c r="I480" s="18">
        <v>18</v>
      </c>
      <c r="J480" s="18">
        <v>49</v>
      </c>
      <c r="K480" s="18">
        <v>37</v>
      </c>
      <c r="L480" s="18">
        <v>32</v>
      </c>
      <c r="M480" s="18">
        <v>9</v>
      </c>
      <c r="N480" s="18" t="s">
        <v>32</v>
      </c>
    </row>
    <row r="481" spans="1:14" x14ac:dyDescent="0.25">
      <c r="A481" s="18">
        <f t="shared" si="28"/>
        <v>792</v>
      </c>
      <c r="B481" s="20" t="s">
        <v>509</v>
      </c>
      <c r="C481" s="92">
        <v>43316</v>
      </c>
      <c r="D481" s="19" t="str">
        <f t="shared" si="29"/>
        <v>S</v>
      </c>
      <c r="E481" s="19">
        <f t="shared" si="30"/>
        <v>31</v>
      </c>
      <c r="F481" s="19">
        <v>35</v>
      </c>
      <c r="G481" s="18">
        <v>48</v>
      </c>
      <c r="H481" s="18">
        <v>37</v>
      </c>
      <c r="I481" s="18">
        <v>15</v>
      </c>
      <c r="J481" s="18">
        <v>6</v>
      </c>
      <c r="K481" s="18">
        <v>45</v>
      </c>
      <c r="L481" s="18">
        <v>49</v>
      </c>
      <c r="M481" s="18">
        <v>3</v>
      </c>
      <c r="N481" s="18" t="s">
        <v>32</v>
      </c>
    </row>
    <row r="482" spans="1:14" x14ac:dyDescent="0.25">
      <c r="A482" s="18">
        <f t="shared" si="28"/>
        <v>793</v>
      </c>
      <c r="B482" s="20" t="s">
        <v>510</v>
      </c>
      <c r="C482" s="92">
        <v>43321</v>
      </c>
      <c r="D482" s="19" t="str">
        <f t="shared" si="29"/>
        <v>J</v>
      </c>
      <c r="E482" s="19">
        <f t="shared" si="30"/>
        <v>32</v>
      </c>
      <c r="F482" s="19">
        <v>12</v>
      </c>
      <c r="G482" s="18">
        <v>46</v>
      </c>
      <c r="H482" s="18">
        <v>17</v>
      </c>
      <c r="I482" s="18">
        <v>15</v>
      </c>
      <c r="J482" s="18">
        <v>37</v>
      </c>
      <c r="K482" s="18">
        <v>4</v>
      </c>
      <c r="L482" s="18">
        <v>16</v>
      </c>
      <c r="M482" s="18">
        <v>8</v>
      </c>
      <c r="N482" s="18" t="s">
        <v>32</v>
      </c>
    </row>
    <row r="483" spans="1:14" x14ac:dyDescent="0.25">
      <c r="A483" s="18">
        <f t="shared" si="28"/>
        <v>794</v>
      </c>
      <c r="B483" s="20" t="s">
        <v>511</v>
      </c>
      <c r="C483" s="92">
        <v>43323</v>
      </c>
      <c r="D483" s="19" t="str">
        <f t="shared" si="29"/>
        <v>S</v>
      </c>
      <c r="E483" s="19">
        <f t="shared" si="30"/>
        <v>32</v>
      </c>
      <c r="F483" s="19">
        <v>15</v>
      </c>
      <c r="G483" s="18">
        <v>10</v>
      </c>
      <c r="H483" s="18">
        <v>16</v>
      </c>
      <c r="I483" s="18">
        <v>24</v>
      </c>
      <c r="J483" s="18">
        <v>43</v>
      </c>
      <c r="K483" s="18">
        <v>13</v>
      </c>
      <c r="L483" s="18">
        <v>20</v>
      </c>
      <c r="M483" s="18">
        <v>0</v>
      </c>
      <c r="N483" s="18" t="s">
        <v>32</v>
      </c>
    </row>
    <row r="484" spans="1:14" x14ac:dyDescent="0.25">
      <c r="A484" s="18">
        <f t="shared" si="28"/>
        <v>795</v>
      </c>
      <c r="B484" s="20" t="s">
        <v>512</v>
      </c>
      <c r="C484" s="92">
        <v>43328</v>
      </c>
      <c r="D484" s="19" t="str">
        <f t="shared" si="29"/>
        <v>J</v>
      </c>
      <c r="E484" s="19">
        <f t="shared" si="30"/>
        <v>33</v>
      </c>
      <c r="F484" s="19">
        <v>30</v>
      </c>
      <c r="G484" s="18">
        <v>38</v>
      </c>
      <c r="H484" s="18">
        <v>5</v>
      </c>
      <c r="I484" s="18">
        <v>4</v>
      </c>
      <c r="J484" s="18">
        <v>2</v>
      </c>
      <c r="K484" s="18">
        <v>13</v>
      </c>
      <c r="L484" s="18">
        <v>35</v>
      </c>
      <c r="M484" s="18">
        <v>2</v>
      </c>
      <c r="N484" s="18" t="s">
        <v>32</v>
      </c>
    </row>
    <row r="485" spans="1:14" x14ac:dyDescent="0.25">
      <c r="A485" s="18">
        <f t="shared" si="28"/>
        <v>796</v>
      </c>
      <c r="B485" s="20" t="s">
        <v>513</v>
      </c>
      <c r="C485" s="92">
        <v>43330</v>
      </c>
      <c r="D485" s="19" t="str">
        <f t="shared" si="29"/>
        <v>S</v>
      </c>
      <c r="E485" s="19">
        <f t="shared" si="30"/>
        <v>33</v>
      </c>
      <c r="F485" s="19">
        <v>42</v>
      </c>
      <c r="G485" s="18">
        <v>41</v>
      </c>
      <c r="H485" s="18">
        <v>35</v>
      </c>
      <c r="I485" s="18">
        <v>37</v>
      </c>
      <c r="J485" s="18">
        <v>25</v>
      </c>
      <c r="K485" s="18">
        <v>7</v>
      </c>
      <c r="L485" s="18">
        <v>15</v>
      </c>
      <c r="M485" s="18">
        <v>1</v>
      </c>
      <c r="N485" s="18" t="s">
        <v>32</v>
      </c>
    </row>
    <row r="486" spans="1:14" x14ac:dyDescent="0.25">
      <c r="A486" s="18">
        <f t="shared" si="28"/>
        <v>797</v>
      </c>
      <c r="B486" s="20" t="s">
        <v>514</v>
      </c>
      <c r="C486" s="92">
        <v>43335</v>
      </c>
      <c r="D486" s="19" t="str">
        <f t="shared" si="29"/>
        <v>J</v>
      </c>
      <c r="E486" s="19">
        <f t="shared" si="30"/>
        <v>34</v>
      </c>
      <c r="F486" s="19">
        <v>45</v>
      </c>
      <c r="G486" s="18">
        <v>9</v>
      </c>
      <c r="H486" s="18">
        <v>12</v>
      </c>
      <c r="I486" s="18">
        <v>40</v>
      </c>
      <c r="J486" s="18">
        <v>2</v>
      </c>
      <c r="K486" s="18">
        <v>48</v>
      </c>
      <c r="L486" s="18">
        <v>5</v>
      </c>
      <c r="M486" s="18">
        <v>6</v>
      </c>
      <c r="N486" s="18" t="s">
        <v>32</v>
      </c>
    </row>
    <row r="487" spans="1:14" x14ac:dyDescent="0.25">
      <c r="A487" s="18">
        <f t="shared" si="28"/>
        <v>798</v>
      </c>
      <c r="B487" s="20" t="s">
        <v>515</v>
      </c>
      <c r="C487" s="92">
        <v>43337</v>
      </c>
      <c r="D487" s="19" t="str">
        <f t="shared" si="29"/>
        <v>S</v>
      </c>
      <c r="E487" s="19">
        <f t="shared" si="30"/>
        <v>34</v>
      </c>
      <c r="F487" s="19">
        <v>49</v>
      </c>
      <c r="G487" s="18">
        <v>8</v>
      </c>
      <c r="H487" s="18">
        <v>18</v>
      </c>
      <c r="I487" s="18">
        <v>34</v>
      </c>
      <c r="J487" s="18">
        <v>41</v>
      </c>
      <c r="K487" s="18">
        <v>17</v>
      </c>
      <c r="L487" s="18">
        <v>3</v>
      </c>
      <c r="M487" s="18">
        <v>9</v>
      </c>
      <c r="N487" s="18" t="s">
        <v>32</v>
      </c>
    </row>
    <row r="488" spans="1:14" x14ac:dyDescent="0.25">
      <c r="A488" s="18">
        <f t="shared" si="28"/>
        <v>799</v>
      </c>
      <c r="B488" s="20" t="s">
        <v>516</v>
      </c>
      <c r="C488" s="92">
        <v>43342</v>
      </c>
      <c r="D488" s="19" t="str">
        <f t="shared" si="29"/>
        <v>J</v>
      </c>
      <c r="E488" s="19">
        <f t="shared" si="30"/>
        <v>35</v>
      </c>
      <c r="F488" s="19">
        <v>8</v>
      </c>
      <c r="G488" s="18">
        <v>38</v>
      </c>
      <c r="H488" s="18">
        <v>27</v>
      </c>
      <c r="I488" s="18">
        <v>40</v>
      </c>
      <c r="J488" s="18">
        <v>44</v>
      </c>
      <c r="K488" s="18">
        <v>11</v>
      </c>
      <c r="L488" s="18">
        <v>26</v>
      </c>
      <c r="M488" s="18">
        <v>5</v>
      </c>
      <c r="N488" s="18" t="s">
        <v>32</v>
      </c>
    </row>
    <row r="489" spans="1:14" x14ac:dyDescent="0.25">
      <c r="A489" s="18">
        <f t="shared" si="28"/>
        <v>800</v>
      </c>
      <c r="B489" s="20" t="s">
        <v>517</v>
      </c>
      <c r="C489" s="92">
        <v>43344</v>
      </c>
      <c r="D489" s="19" t="str">
        <f t="shared" si="29"/>
        <v>S</v>
      </c>
      <c r="E489" s="19">
        <f t="shared" si="30"/>
        <v>35</v>
      </c>
      <c r="F489" s="19">
        <v>7</v>
      </c>
      <c r="G489" s="18">
        <v>37</v>
      </c>
      <c r="H489" s="18">
        <v>19</v>
      </c>
      <c r="I489" s="18">
        <v>4</v>
      </c>
      <c r="J489" s="18">
        <v>45</v>
      </c>
      <c r="K489" s="18">
        <v>44</v>
      </c>
      <c r="L489" s="18">
        <v>12</v>
      </c>
      <c r="M489" s="18">
        <v>2</v>
      </c>
      <c r="N489" s="18" t="s">
        <v>32</v>
      </c>
    </row>
    <row r="490" spans="1:14" x14ac:dyDescent="0.25">
      <c r="A490" s="18">
        <f t="shared" si="28"/>
        <v>801</v>
      </c>
      <c r="B490" s="20" t="s">
        <v>518</v>
      </c>
      <c r="C490" s="92">
        <v>43349</v>
      </c>
      <c r="D490" s="19" t="str">
        <f t="shared" si="29"/>
        <v>J</v>
      </c>
      <c r="E490" s="19">
        <f t="shared" si="30"/>
        <v>36</v>
      </c>
      <c r="F490" s="19">
        <v>27</v>
      </c>
      <c r="G490" s="18">
        <v>11</v>
      </c>
      <c r="H490" s="18">
        <v>3</v>
      </c>
      <c r="I490" s="18">
        <v>21</v>
      </c>
      <c r="J490" s="18">
        <v>28</v>
      </c>
      <c r="K490" s="18">
        <v>34</v>
      </c>
      <c r="L490" s="18">
        <v>40</v>
      </c>
      <c r="M490" s="18">
        <v>9</v>
      </c>
      <c r="N490" s="18" t="s">
        <v>32</v>
      </c>
    </row>
    <row r="491" spans="1:14" x14ac:dyDescent="0.25">
      <c r="A491" s="18">
        <f t="shared" si="28"/>
        <v>802</v>
      </c>
      <c r="B491" s="20" t="s">
        <v>519</v>
      </c>
      <c r="C491" s="92">
        <v>43351</v>
      </c>
      <c r="D491" s="19" t="str">
        <f t="shared" si="29"/>
        <v>S</v>
      </c>
      <c r="E491" s="19">
        <f t="shared" si="30"/>
        <v>36</v>
      </c>
      <c r="F491" s="19">
        <v>40</v>
      </c>
      <c r="G491" s="18">
        <v>41</v>
      </c>
      <c r="H491" s="18">
        <v>16</v>
      </c>
      <c r="I491" s="18">
        <v>30</v>
      </c>
      <c r="J491" s="18">
        <v>38</v>
      </c>
      <c r="K491" s="18">
        <v>9</v>
      </c>
      <c r="L491" s="18">
        <v>4</v>
      </c>
      <c r="M491" s="18">
        <v>7</v>
      </c>
      <c r="N491" s="18" t="s">
        <v>32</v>
      </c>
    </row>
    <row r="492" spans="1:14" x14ac:dyDescent="0.25">
      <c r="A492" s="18">
        <f t="shared" si="28"/>
        <v>803</v>
      </c>
      <c r="B492" s="20" t="s">
        <v>520</v>
      </c>
      <c r="C492" s="92">
        <v>43356</v>
      </c>
      <c r="D492" s="19" t="str">
        <f t="shared" si="29"/>
        <v>J</v>
      </c>
      <c r="E492" s="19">
        <f t="shared" si="30"/>
        <v>37</v>
      </c>
      <c r="F492" s="19">
        <v>24</v>
      </c>
      <c r="G492" s="18">
        <v>23</v>
      </c>
      <c r="H492" s="18">
        <v>43</v>
      </c>
      <c r="I492" s="18">
        <v>11</v>
      </c>
      <c r="J492" s="18">
        <v>49</v>
      </c>
      <c r="K492" s="18">
        <v>2</v>
      </c>
      <c r="L492" s="18">
        <v>8</v>
      </c>
      <c r="M492" s="18">
        <v>7</v>
      </c>
      <c r="N492" s="18" t="s">
        <v>32</v>
      </c>
    </row>
    <row r="493" spans="1:14" x14ac:dyDescent="0.25">
      <c r="A493" s="18">
        <f t="shared" si="28"/>
        <v>804</v>
      </c>
      <c r="B493" s="20" t="s">
        <v>521</v>
      </c>
      <c r="C493" s="92">
        <v>43358</v>
      </c>
      <c r="D493" s="19" t="str">
        <f t="shared" si="29"/>
        <v>S</v>
      </c>
      <c r="E493" s="19">
        <f t="shared" si="30"/>
        <v>37</v>
      </c>
      <c r="F493" s="19">
        <v>21</v>
      </c>
      <c r="G493" s="18">
        <v>34</v>
      </c>
      <c r="H493" s="18">
        <v>36</v>
      </c>
      <c r="I493" s="18">
        <v>4</v>
      </c>
      <c r="J493" s="18">
        <v>26</v>
      </c>
      <c r="K493" s="18">
        <v>24</v>
      </c>
      <c r="L493" s="18">
        <v>14</v>
      </c>
      <c r="M493" s="18">
        <v>8</v>
      </c>
      <c r="N493" s="18" t="s">
        <v>32</v>
      </c>
    </row>
    <row r="494" spans="1:14" x14ac:dyDescent="0.25">
      <c r="A494" s="18">
        <f t="shared" si="28"/>
        <v>805</v>
      </c>
      <c r="B494" s="20" t="s">
        <v>522</v>
      </c>
      <c r="C494" s="92">
        <v>43363</v>
      </c>
      <c r="D494" s="19" t="str">
        <f t="shared" ref="D494" si="31">CHOOSE(WEEKDAY(C494),"D","L","M","X","J","V","S")</f>
        <v>J</v>
      </c>
      <c r="E494" s="19">
        <f t="shared" ref="E494:E499" si="32">WEEKNUM(C494,21)</f>
        <v>38</v>
      </c>
      <c r="F494" s="18">
        <v>34</v>
      </c>
      <c r="G494" s="18">
        <v>26</v>
      </c>
      <c r="H494" s="18">
        <v>36</v>
      </c>
      <c r="I494" s="18">
        <v>24</v>
      </c>
      <c r="J494" s="18">
        <v>46</v>
      </c>
      <c r="K494" s="18">
        <v>4</v>
      </c>
      <c r="L494" s="18">
        <v>39</v>
      </c>
      <c r="M494" s="18">
        <v>9</v>
      </c>
      <c r="N494" s="18" t="s">
        <v>32</v>
      </c>
    </row>
    <row r="495" spans="1:14" x14ac:dyDescent="0.25">
      <c r="A495" s="18">
        <f t="shared" si="28"/>
        <v>806</v>
      </c>
      <c r="B495" s="20" t="s">
        <v>523</v>
      </c>
      <c r="C495" s="92">
        <v>43365</v>
      </c>
      <c r="D495" s="19" t="str">
        <f t="shared" ref="D495:D496" si="33">CHOOSE(WEEKDAY(C495),"D","L","M","X","J","V","S")</f>
        <v>S</v>
      </c>
      <c r="E495" s="19">
        <f t="shared" si="32"/>
        <v>38</v>
      </c>
      <c r="F495" s="18">
        <v>9</v>
      </c>
      <c r="G495" s="18">
        <v>31</v>
      </c>
      <c r="H495" s="18">
        <v>32</v>
      </c>
      <c r="I495" s="18">
        <v>48</v>
      </c>
      <c r="J495" s="18">
        <v>16</v>
      </c>
      <c r="K495" s="18">
        <v>19</v>
      </c>
      <c r="L495" s="18">
        <v>8</v>
      </c>
      <c r="M495" s="18">
        <v>8</v>
      </c>
      <c r="N495" s="18" t="s">
        <v>32</v>
      </c>
    </row>
    <row r="496" spans="1:14" x14ac:dyDescent="0.25">
      <c r="A496" s="18">
        <f t="shared" si="28"/>
        <v>807</v>
      </c>
      <c r="B496" s="20" t="s">
        <v>524</v>
      </c>
      <c r="C496" s="92">
        <v>43370</v>
      </c>
      <c r="D496" s="19" t="str">
        <f t="shared" si="33"/>
        <v>J</v>
      </c>
      <c r="E496" s="19">
        <f t="shared" si="32"/>
        <v>39</v>
      </c>
      <c r="F496" s="18">
        <v>18</v>
      </c>
      <c r="G496" s="18">
        <v>10</v>
      </c>
      <c r="H496" s="18">
        <v>17</v>
      </c>
      <c r="I496" s="18">
        <v>21</v>
      </c>
      <c r="J496" s="18">
        <v>4</v>
      </c>
      <c r="K496" s="18">
        <v>42</v>
      </c>
      <c r="L496" s="18">
        <v>45</v>
      </c>
      <c r="M496" s="18">
        <v>7</v>
      </c>
      <c r="N496" s="18" t="s">
        <v>32</v>
      </c>
    </row>
    <row r="497" spans="1:14" x14ac:dyDescent="0.25">
      <c r="A497" s="18">
        <f t="shared" si="28"/>
        <v>808</v>
      </c>
      <c r="B497" s="20" t="s">
        <v>525</v>
      </c>
      <c r="C497" s="92">
        <v>43372</v>
      </c>
      <c r="D497" s="19" t="str">
        <f t="shared" ref="D497" si="34">CHOOSE(WEEKDAY(C497),"D","L","M","X","J","V","S")</f>
        <v>S</v>
      </c>
      <c r="E497" s="19">
        <f t="shared" si="32"/>
        <v>39</v>
      </c>
      <c r="F497" s="18">
        <v>22</v>
      </c>
      <c r="G497" s="18">
        <v>8</v>
      </c>
      <c r="H497" s="18">
        <v>45</v>
      </c>
      <c r="I497" s="18">
        <v>39</v>
      </c>
      <c r="J497" s="18">
        <v>34</v>
      </c>
      <c r="K497" s="18">
        <v>7</v>
      </c>
      <c r="L497" s="18">
        <v>25</v>
      </c>
      <c r="M497" s="18">
        <v>4</v>
      </c>
      <c r="N497" s="18" t="s">
        <v>32</v>
      </c>
    </row>
    <row r="498" spans="1:14" x14ac:dyDescent="0.25">
      <c r="A498" s="18">
        <f t="shared" si="28"/>
        <v>809</v>
      </c>
      <c r="B498" s="20" t="s">
        <v>526</v>
      </c>
      <c r="C498" s="92">
        <v>43377</v>
      </c>
      <c r="D498" s="19" t="str">
        <f t="shared" ref="D498:D499" si="35">CHOOSE(WEEKDAY(C498),"D","L","M","X","J","V","S")</f>
        <v>J</v>
      </c>
      <c r="E498" s="19">
        <f t="shared" si="32"/>
        <v>40</v>
      </c>
      <c r="F498" s="18">
        <v>47</v>
      </c>
      <c r="G498" s="18">
        <v>41</v>
      </c>
      <c r="H498" s="18">
        <v>19</v>
      </c>
      <c r="I498" s="18">
        <v>34</v>
      </c>
      <c r="J498" s="18">
        <v>28</v>
      </c>
      <c r="K498" s="18">
        <v>36</v>
      </c>
      <c r="L498" s="18">
        <v>16</v>
      </c>
      <c r="M498" s="18">
        <v>1</v>
      </c>
      <c r="N498" s="18" t="s">
        <v>32</v>
      </c>
    </row>
    <row r="499" spans="1:14" x14ac:dyDescent="0.25">
      <c r="A499" s="18">
        <f t="shared" si="28"/>
        <v>810</v>
      </c>
      <c r="B499" s="20" t="s">
        <v>527</v>
      </c>
      <c r="C499" s="92">
        <v>43379</v>
      </c>
      <c r="D499" s="19" t="str">
        <f t="shared" si="35"/>
        <v>S</v>
      </c>
      <c r="E499" s="19">
        <f t="shared" si="32"/>
        <v>40</v>
      </c>
      <c r="F499" s="18">
        <v>26</v>
      </c>
      <c r="G499" s="18">
        <v>34</v>
      </c>
      <c r="H499" s="18">
        <v>19</v>
      </c>
      <c r="I499" s="18">
        <v>11</v>
      </c>
      <c r="J499" s="18">
        <v>1</v>
      </c>
      <c r="K499" s="18">
        <v>27</v>
      </c>
      <c r="L499" s="18">
        <v>44</v>
      </c>
      <c r="M499" s="18">
        <v>8</v>
      </c>
      <c r="N499" s="18" t="s">
        <v>32</v>
      </c>
    </row>
    <row r="500" spans="1:14" x14ac:dyDescent="0.25">
      <c r="A500" s="18">
        <f t="shared" si="28"/>
        <v>811</v>
      </c>
      <c r="B500" s="20" t="s">
        <v>528</v>
      </c>
      <c r="C500" s="92">
        <v>43384</v>
      </c>
      <c r="D500" s="19" t="str">
        <f t="shared" ref="D500:D501" si="36">CHOOSE(WEEKDAY(C500),"D","L","M","X","J","V","S")</f>
        <v>J</v>
      </c>
      <c r="E500" s="19">
        <f t="shared" ref="E500:E501" si="37">WEEKNUM(C500,21)</f>
        <v>41</v>
      </c>
      <c r="F500" s="18">
        <v>27</v>
      </c>
      <c r="G500" s="18">
        <v>2</v>
      </c>
      <c r="H500" s="18">
        <v>30</v>
      </c>
      <c r="I500" s="18">
        <v>18</v>
      </c>
      <c r="J500" s="18">
        <v>26</v>
      </c>
      <c r="K500" s="18">
        <v>24</v>
      </c>
      <c r="L500" s="18">
        <v>34</v>
      </c>
      <c r="M500" s="18">
        <v>0</v>
      </c>
      <c r="N500" s="18" t="s">
        <v>32</v>
      </c>
    </row>
    <row r="501" spans="1:14" x14ac:dyDescent="0.25">
      <c r="A501" s="18">
        <f t="shared" si="28"/>
        <v>812</v>
      </c>
      <c r="B501" s="20" t="s">
        <v>529</v>
      </c>
      <c r="C501" s="92">
        <v>43386</v>
      </c>
      <c r="D501" s="19" t="str">
        <f t="shared" si="36"/>
        <v>S</v>
      </c>
      <c r="E501" s="19">
        <f t="shared" si="37"/>
        <v>41</v>
      </c>
      <c r="F501" s="18">
        <v>40</v>
      </c>
      <c r="G501" s="18">
        <v>17</v>
      </c>
      <c r="H501" s="18">
        <v>11</v>
      </c>
      <c r="I501" s="18">
        <v>15</v>
      </c>
      <c r="J501" s="18">
        <v>3</v>
      </c>
      <c r="K501" s="18">
        <v>21</v>
      </c>
      <c r="L501" s="18">
        <v>29</v>
      </c>
      <c r="M501" s="18">
        <v>8</v>
      </c>
      <c r="N501" s="18" t="s">
        <v>32</v>
      </c>
    </row>
    <row r="502" spans="1:14" x14ac:dyDescent="0.25">
      <c r="A502" s="18">
        <f t="shared" si="28"/>
        <v>813</v>
      </c>
      <c r="B502" s="20" t="s">
        <v>530</v>
      </c>
      <c r="C502" s="92">
        <v>43391</v>
      </c>
      <c r="D502" s="19" t="str">
        <f t="shared" ref="D502:D503" si="38">CHOOSE(WEEKDAY(C502),"D","L","M","X","J","V","S")</f>
        <v>J</v>
      </c>
      <c r="E502" s="19">
        <f t="shared" ref="E502:E507" si="39">WEEKNUM(C502,21)</f>
        <v>42</v>
      </c>
      <c r="F502" s="18">
        <v>43</v>
      </c>
      <c r="G502" s="18">
        <v>9</v>
      </c>
      <c r="H502" s="18">
        <v>41</v>
      </c>
      <c r="I502" s="18">
        <v>28</v>
      </c>
      <c r="J502" s="18">
        <v>5</v>
      </c>
      <c r="K502" s="18">
        <v>16</v>
      </c>
      <c r="L502" s="18">
        <v>44</v>
      </c>
      <c r="M502" s="18">
        <v>2</v>
      </c>
      <c r="N502" s="18" t="s">
        <v>32</v>
      </c>
    </row>
    <row r="503" spans="1:14" x14ac:dyDescent="0.25">
      <c r="A503" s="18">
        <f t="shared" si="28"/>
        <v>814</v>
      </c>
      <c r="B503" s="20" t="s">
        <v>531</v>
      </c>
      <c r="C503" s="92">
        <v>43393</v>
      </c>
      <c r="D503" s="19" t="str">
        <f t="shared" si="38"/>
        <v>S</v>
      </c>
      <c r="E503" s="19">
        <f t="shared" si="39"/>
        <v>42</v>
      </c>
      <c r="F503" s="18">
        <v>24</v>
      </c>
      <c r="G503" s="18">
        <v>19</v>
      </c>
      <c r="H503" s="18">
        <v>3</v>
      </c>
      <c r="I503" s="18">
        <v>12</v>
      </c>
      <c r="J503" s="18">
        <v>39</v>
      </c>
      <c r="K503" s="18">
        <v>20</v>
      </c>
      <c r="L503" s="18">
        <v>45</v>
      </c>
      <c r="M503" s="18">
        <v>8</v>
      </c>
      <c r="N503" s="18" t="s">
        <v>32</v>
      </c>
    </row>
    <row r="504" spans="1:14" x14ac:dyDescent="0.25">
      <c r="A504" s="18">
        <f t="shared" si="28"/>
        <v>815</v>
      </c>
      <c r="B504" s="20" t="s">
        <v>532</v>
      </c>
      <c r="C504" s="92">
        <v>43398</v>
      </c>
      <c r="D504" s="19" t="str">
        <f t="shared" ref="D504:D505" si="40">CHOOSE(WEEKDAY(C504),"D","L","M","X","J","V","S")</f>
        <v>J</v>
      </c>
      <c r="E504" s="19">
        <f t="shared" si="39"/>
        <v>43</v>
      </c>
      <c r="F504" s="18">
        <v>13</v>
      </c>
      <c r="G504" s="18">
        <v>19</v>
      </c>
      <c r="H504" s="18">
        <v>12</v>
      </c>
      <c r="I504" s="18">
        <v>31</v>
      </c>
      <c r="J504" s="18">
        <v>7</v>
      </c>
      <c r="K504" s="18">
        <v>42</v>
      </c>
      <c r="L504" s="18">
        <v>11</v>
      </c>
      <c r="M504" s="18">
        <v>8</v>
      </c>
      <c r="N504" s="18" t="s">
        <v>32</v>
      </c>
    </row>
    <row r="505" spans="1:14" x14ac:dyDescent="0.25">
      <c r="A505" s="18">
        <f t="shared" si="28"/>
        <v>816</v>
      </c>
      <c r="B505" s="20" t="s">
        <v>533</v>
      </c>
      <c r="C505" s="92">
        <v>43400</v>
      </c>
      <c r="D505" s="19" t="str">
        <f t="shared" si="40"/>
        <v>S</v>
      </c>
      <c r="E505" s="19">
        <f t="shared" si="39"/>
        <v>43</v>
      </c>
      <c r="F505" s="18">
        <v>15</v>
      </c>
      <c r="G505" s="18">
        <v>8</v>
      </c>
      <c r="H505" s="18">
        <v>42</v>
      </c>
      <c r="I505" s="18">
        <v>34</v>
      </c>
      <c r="J505" s="18">
        <v>16</v>
      </c>
      <c r="K505" s="18">
        <v>40</v>
      </c>
      <c r="L505" s="18">
        <v>18</v>
      </c>
      <c r="M505" s="18">
        <v>6</v>
      </c>
      <c r="N505" s="18" t="s">
        <v>32</v>
      </c>
    </row>
    <row r="506" spans="1:14" x14ac:dyDescent="0.25">
      <c r="A506" s="18">
        <f t="shared" si="28"/>
        <v>817</v>
      </c>
      <c r="B506" s="20" t="s">
        <v>534</v>
      </c>
      <c r="C506" s="92">
        <v>43405</v>
      </c>
      <c r="D506" s="19" t="str">
        <f t="shared" ref="D506:D507" si="41">CHOOSE(WEEKDAY(C506),"D","L","M","X","J","V","S")</f>
        <v>J</v>
      </c>
      <c r="E506" s="19">
        <f t="shared" si="39"/>
        <v>44</v>
      </c>
      <c r="F506" s="18">
        <v>36</v>
      </c>
      <c r="G506" s="18">
        <v>28</v>
      </c>
      <c r="H506" s="18">
        <v>21</v>
      </c>
      <c r="I506" s="18">
        <v>13</v>
      </c>
      <c r="J506" s="18">
        <v>40</v>
      </c>
      <c r="K506" s="18">
        <v>37</v>
      </c>
      <c r="L506" s="18">
        <v>39</v>
      </c>
      <c r="M506" s="18">
        <v>4</v>
      </c>
      <c r="N506" s="18" t="s">
        <v>32</v>
      </c>
    </row>
    <row r="507" spans="1:14" x14ac:dyDescent="0.25">
      <c r="A507" s="18">
        <f t="shared" si="28"/>
        <v>818</v>
      </c>
      <c r="B507" s="20" t="s">
        <v>535</v>
      </c>
      <c r="C507" s="92">
        <v>43407</v>
      </c>
      <c r="D507" s="19" t="str">
        <f t="shared" si="41"/>
        <v>S</v>
      </c>
      <c r="E507" s="19">
        <f t="shared" si="39"/>
        <v>44</v>
      </c>
      <c r="F507" s="18">
        <v>16</v>
      </c>
      <c r="G507" s="18">
        <v>43</v>
      </c>
      <c r="H507" s="18">
        <v>1</v>
      </c>
      <c r="I507" s="18">
        <v>23</v>
      </c>
      <c r="J507" s="18">
        <v>36</v>
      </c>
      <c r="K507" s="18">
        <v>8</v>
      </c>
      <c r="L507" s="18">
        <v>44</v>
      </c>
      <c r="M507" s="18">
        <v>2</v>
      </c>
      <c r="N507" s="18" t="s">
        <v>32</v>
      </c>
    </row>
    <row r="508" spans="1:14" x14ac:dyDescent="0.25">
      <c r="A508" s="18">
        <f t="shared" si="28"/>
        <v>819</v>
      </c>
      <c r="B508" s="20" t="s">
        <v>536</v>
      </c>
      <c r="C508" s="92">
        <v>43412</v>
      </c>
      <c r="D508" s="19" t="str">
        <f t="shared" ref="D508:D509" si="42">CHOOSE(WEEKDAY(C508),"D","L","M","X","J","V","S")</f>
        <v>J</v>
      </c>
      <c r="E508" s="19">
        <f>WEEKNUM(C508,21)</f>
        <v>45</v>
      </c>
      <c r="F508" s="18">
        <v>22</v>
      </c>
      <c r="G508" s="18">
        <v>30</v>
      </c>
      <c r="H508" s="18">
        <v>26</v>
      </c>
      <c r="I508" s="18">
        <v>39</v>
      </c>
      <c r="J508" s="18">
        <v>35</v>
      </c>
      <c r="K508" s="18">
        <v>16</v>
      </c>
      <c r="L508" s="18">
        <v>33</v>
      </c>
      <c r="M508" s="18">
        <v>6</v>
      </c>
      <c r="N508" s="18" t="s">
        <v>32</v>
      </c>
    </row>
    <row r="509" spans="1:14" x14ac:dyDescent="0.25">
      <c r="A509" s="18">
        <f t="shared" si="28"/>
        <v>820</v>
      </c>
      <c r="B509" s="20" t="s">
        <v>537</v>
      </c>
      <c r="C509" s="92">
        <v>43414</v>
      </c>
      <c r="D509" s="19" t="str">
        <f t="shared" si="42"/>
        <v>S</v>
      </c>
      <c r="E509" s="19">
        <f t="shared" ref="E509" si="43">WEEKNUM(C509,21)</f>
        <v>45</v>
      </c>
      <c r="F509" s="18">
        <v>24</v>
      </c>
      <c r="G509" s="18">
        <v>21</v>
      </c>
      <c r="H509" s="18">
        <v>40</v>
      </c>
      <c r="I509" s="18">
        <v>22</v>
      </c>
      <c r="J509" s="18">
        <v>20</v>
      </c>
      <c r="K509" s="18">
        <v>46</v>
      </c>
      <c r="L509" s="18">
        <v>27</v>
      </c>
      <c r="M509" s="18">
        <v>8</v>
      </c>
      <c r="N509" s="18" t="s">
        <v>32</v>
      </c>
    </row>
    <row r="510" spans="1:14" x14ac:dyDescent="0.25">
      <c r="A510" s="18">
        <f t="shared" si="28"/>
        <v>821</v>
      </c>
      <c r="B510" s="20" t="s">
        <v>538</v>
      </c>
      <c r="C510" s="92">
        <v>43419</v>
      </c>
      <c r="D510" s="19" t="str">
        <f t="shared" ref="D510:D511" si="44">CHOOSE(WEEKDAY(C510),"D","L","M","X","J","V","S")</f>
        <v>J</v>
      </c>
      <c r="E510" s="19">
        <f t="shared" ref="E510:E515" si="45">WEEKNUM(C510,21)</f>
        <v>46</v>
      </c>
      <c r="F510" s="18">
        <v>6</v>
      </c>
      <c r="G510" s="18">
        <v>36</v>
      </c>
      <c r="H510" s="18">
        <v>45</v>
      </c>
      <c r="I510" s="18">
        <v>26</v>
      </c>
      <c r="J510" s="18">
        <v>40</v>
      </c>
      <c r="K510" s="18">
        <v>39</v>
      </c>
      <c r="L510" s="18">
        <v>12</v>
      </c>
      <c r="M510" s="18">
        <v>8</v>
      </c>
      <c r="N510" s="18" t="s">
        <v>32</v>
      </c>
    </row>
    <row r="511" spans="1:14" x14ac:dyDescent="0.25">
      <c r="A511" s="18">
        <f t="shared" si="28"/>
        <v>822</v>
      </c>
      <c r="B511" s="20" t="s">
        <v>539</v>
      </c>
      <c r="C511" s="92">
        <v>43421</v>
      </c>
      <c r="D511" s="19" t="str">
        <f t="shared" si="44"/>
        <v>S</v>
      </c>
      <c r="E511" s="19">
        <f t="shared" si="45"/>
        <v>46</v>
      </c>
      <c r="F511" s="18">
        <v>14</v>
      </c>
      <c r="G511" s="18">
        <v>23</v>
      </c>
      <c r="H511" s="18">
        <v>29</v>
      </c>
      <c r="I511" s="18">
        <v>39</v>
      </c>
      <c r="J511" s="18">
        <v>2</v>
      </c>
      <c r="K511" s="18">
        <v>30</v>
      </c>
      <c r="L511" s="18">
        <v>37</v>
      </c>
      <c r="M511" s="18">
        <v>2</v>
      </c>
      <c r="N511" s="18" t="s">
        <v>32</v>
      </c>
    </row>
    <row r="512" spans="1:14" x14ac:dyDescent="0.25">
      <c r="A512" s="18">
        <f t="shared" si="28"/>
        <v>823</v>
      </c>
      <c r="B512" s="20" t="s">
        <v>540</v>
      </c>
      <c r="C512" s="92">
        <v>43426</v>
      </c>
      <c r="D512" s="19" t="str">
        <f t="shared" ref="D512:D513" si="46">CHOOSE(WEEKDAY(C512),"D","L","M","X","J","V","S")</f>
        <v>J</v>
      </c>
      <c r="E512" s="19">
        <f t="shared" si="45"/>
        <v>47</v>
      </c>
      <c r="F512" s="18">
        <v>43</v>
      </c>
      <c r="G512" s="18">
        <v>39</v>
      </c>
      <c r="H512" s="18">
        <v>9</v>
      </c>
      <c r="I512" s="18">
        <v>45</v>
      </c>
      <c r="J512" s="18">
        <v>22</v>
      </c>
      <c r="K512" s="18">
        <v>47</v>
      </c>
      <c r="L512" s="18">
        <v>4</v>
      </c>
      <c r="M512" s="18">
        <v>4</v>
      </c>
      <c r="N512" s="18" t="s">
        <v>32</v>
      </c>
    </row>
    <row r="513" spans="1:20" x14ac:dyDescent="0.25">
      <c r="A513" s="18">
        <f t="shared" si="28"/>
        <v>824</v>
      </c>
      <c r="B513" s="20" t="s">
        <v>541</v>
      </c>
      <c r="C513" s="92">
        <v>43428</v>
      </c>
      <c r="D513" s="19" t="str">
        <f t="shared" si="46"/>
        <v>S</v>
      </c>
      <c r="E513" s="19">
        <f t="shared" si="45"/>
        <v>47</v>
      </c>
      <c r="F513" s="18">
        <v>10</v>
      </c>
      <c r="G513" s="18">
        <v>2</v>
      </c>
      <c r="H513" s="18">
        <v>35</v>
      </c>
      <c r="I513" s="18">
        <v>19</v>
      </c>
      <c r="J513" s="18">
        <v>14</v>
      </c>
      <c r="K513" s="18">
        <v>24</v>
      </c>
      <c r="L513" s="18">
        <v>32</v>
      </c>
      <c r="M513" s="18">
        <v>9</v>
      </c>
      <c r="N513" s="18" t="s">
        <v>32</v>
      </c>
    </row>
    <row r="514" spans="1:20" x14ac:dyDescent="0.25">
      <c r="A514" s="18">
        <f t="shared" si="28"/>
        <v>825</v>
      </c>
      <c r="B514" s="20" t="s">
        <v>542</v>
      </c>
      <c r="C514" s="92">
        <v>43433</v>
      </c>
      <c r="D514" s="19" t="str">
        <f t="shared" ref="D514:D515" si="47">CHOOSE(WEEKDAY(C514),"D","L","M","X","J","V","S")</f>
        <v>J</v>
      </c>
      <c r="E514" s="19">
        <f t="shared" si="45"/>
        <v>48</v>
      </c>
      <c r="F514" s="18">
        <v>18</v>
      </c>
      <c r="G514" s="18">
        <v>26</v>
      </c>
      <c r="H514" s="18">
        <v>49</v>
      </c>
      <c r="I514" s="18">
        <v>8</v>
      </c>
      <c r="J514" s="18">
        <v>44</v>
      </c>
      <c r="K514" s="18">
        <v>40</v>
      </c>
      <c r="L514" s="18">
        <v>4</v>
      </c>
      <c r="M514" s="18">
        <v>7</v>
      </c>
      <c r="N514" s="18" t="s">
        <v>32</v>
      </c>
    </row>
    <row r="515" spans="1:20" x14ac:dyDescent="0.25">
      <c r="A515" s="18">
        <f t="shared" si="28"/>
        <v>826</v>
      </c>
      <c r="B515" s="20" t="s">
        <v>543</v>
      </c>
      <c r="C515" s="92">
        <v>43435</v>
      </c>
      <c r="D515" s="19" t="str">
        <f t="shared" si="47"/>
        <v>S</v>
      </c>
      <c r="E515" s="19">
        <f t="shared" si="45"/>
        <v>48</v>
      </c>
      <c r="F515" s="18">
        <v>44</v>
      </c>
      <c r="G515" s="18">
        <v>39</v>
      </c>
      <c r="H515" s="18">
        <v>2</v>
      </c>
      <c r="I515" s="18">
        <v>12</v>
      </c>
      <c r="J515" s="18">
        <v>19</v>
      </c>
      <c r="K515" s="18">
        <v>45</v>
      </c>
      <c r="L515" s="18">
        <v>22</v>
      </c>
      <c r="M515" s="18">
        <v>9</v>
      </c>
      <c r="N515" s="18" t="s">
        <v>32</v>
      </c>
    </row>
    <row r="516" spans="1:20" x14ac:dyDescent="0.25">
      <c r="A516" s="18">
        <f t="shared" ref="A516:A649" si="48">+A515+1</f>
        <v>827</v>
      </c>
      <c r="B516" s="20" t="s">
        <v>544</v>
      </c>
      <c r="C516" s="92">
        <v>43440</v>
      </c>
      <c r="D516" s="19" t="str">
        <f t="shared" ref="D516:D517" si="49">CHOOSE(WEEKDAY(C516),"D","L","M","X","J","V","S")</f>
        <v>J</v>
      </c>
      <c r="E516" s="19">
        <f t="shared" ref="E516:E521" si="50">WEEKNUM(C516,21)</f>
        <v>49</v>
      </c>
      <c r="F516" s="18">
        <v>19</v>
      </c>
      <c r="G516" s="18">
        <v>42</v>
      </c>
      <c r="H516" s="18">
        <v>37</v>
      </c>
      <c r="I516" s="18">
        <v>49</v>
      </c>
      <c r="J516" s="18">
        <v>20</v>
      </c>
      <c r="K516" s="18">
        <v>32</v>
      </c>
      <c r="L516" s="18">
        <v>46</v>
      </c>
      <c r="M516" s="18">
        <v>0</v>
      </c>
      <c r="N516" s="18" t="s">
        <v>32</v>
      </c>
    </row>
    <row r="517" spans="1:20" x14ac:dyDescent="0.25">
      <c r="A517" s="18">
        <f t="shared" si="48"/>
        <v>828</v>
      </c>
      <c r="B517" s="20" t="s">
        <v>545</v>
      </c>
      <c r="C517" s="92">
        <v>43442</v>
      </c>
      <c r="D517" s="19" t="str">
        <f t="shared" si="49"/>
        <v>S</v>
      </c>
      <c r="E517" s="19">
        <f t="shared" si="50"/>
        <v>49</v>
      </c>
      <c r="F517" s="18">
        <v>12</v>
      </c>
      <c r="G517" s="18">
        <v>24</v>
      </c>
      <c r="H517" s="18">
        <v>9</v>
      </c>
      <c r="I517" s="18">
        <v>8</v>
      </c>
      <c r="J517" s="18">
        <v>41</v>
      </c>
      <c r="K517" s="18">
        <v>19</v>
      </c>
      <c r="L517" s="18">
        <v>39</v>
      </c>
      <c r="M517" s="18">
        <v>4</v>
      </c>
      <c r="N517" s="18" t="s">
        <v>32</v>
      </c>
    </row>
    <row r="518" spans="1:20" x14ac:dyDescent="0.25">
      <c r="A518" s="18">
        <f t="shared" si="48"/>
        <v>829</v>
      </c>
      <c r="B518" s="20" t="s">
        <v>546</v>
      </c>
      <c r="C518" s="92">
        <v>43447</v>
      </c>
      <c r="D518" s="19" t="str">
        <f t="shared" ref="D518:D519" si="51">CHOOSE(WEEKDAY(C518),"D","L","M","X","J","V","S")</f>
        <v>J</v>
      </c>
      <c r="E518" s="19">
        <f t="shared" si="50"/>
        <v>50</v>
      </c>
      <c r="F518" s="18">
        <v>10</v>
      </c>
      <c r="G518" s="18">
        <v>42</v>
      </c>
      <c r="H518" s="18">
        <v>45</v>
      </c>
      <c r="I518" s="18">
        <v>44</v>
      </c>
      <c r="J518" s="18">
        <v>41</v>
      </c>
      <c r="K518" s="18">
        <v>2</v>
      </c>
      <c r="L518" s="18">
        <v>33</v>
      </c>
      <c r="M518" s="18">
        <v>3</v>
      </c>
      <c r="N518" s="18" t="s">
        <v>32</v>
      </c>
    </row>
    <row r="519" spans="1:20" x14ac:dyDescent="0.25">
      <c r="A519" s="18">
        <f t="shared" si="48"/>
        <v>830</v>
      </c>
      <c r="B519" s="20" t="s">
        <v>547</v>
      </c>
      <c r="C519" s="92">
        <v>43449</v>
      </c>
      <c r="D519" s="19" t="str">
        <f t="shared" si="51"/>
        <v>S</v>
      </c>
      <c r="E519" s="19">
        <f t="shared" si="50"/>
        <v>50</v>
      </c>
      <c r="F519" s="18">
        <v>6</v>
      </c>
      <c r="G519" s="18">
        <v>9</v>
      </c>
      <c r="H519" s="18">
        <v>26</v>
      </c>
      <c r="I519" s="18">
        <v>24</v>
      </c>
      <c r="J519" s="18">
        <v>32</v>
      </c>
      <c r="K519" s="18">
        <v>10</v>
      </c>
      <c r="L519" s="18">
        <v>25</v>
      </c>
      <c r="M519" s="18">
        <v>5</v>
      </c>
      <c r="N519" s="18" t="s">
        <v>32</v>
      </c>
    </row>
    <row r="520" spans="1:20" x14ac:dyDescent="0.25">
      <c r="A520" s="18">
        <f t="shared" si="48"/>
        <v>831</v>
      </c>
      <c r="B520" s="20" t="s">
        <v>548</v>
      </c>
      <c r="C520" s="92">
        <v>43454</v>
      </c>
      <c r="D520" s="19" t="str">
        <f t="shared" ref="D520:D521" si="52">CHOOSE(WEEKDAY(C520),"D","L","M","X","J","V","S")</f>
        <v>J</v>
      </c>
      <c r="E520" s="19">
        <f t="shared" si="50"/>
        <v>51</v>
      </c>
      <c r="F520" s="18">
        <v>43</v>
      </c>
      <c r="G520" s="18">
        <v>31</v>
      </c>
      <c r="H520" s="18">
        <v>8</v>
      </c>
      <c r="I520" s="18">
        <v>25</v>
      </c>
      <c r="J520" s="18">
        <v>46</v>
      </c>
      <c r="K520" s="18">
        <v>24</v>
      </c>
      <c r="L520" s="18">
        <v>12</v>
      </c>
      <c r="M520" s="18">
        <v>8</v>
      </c>
      <c r="N520" s="18" t="s">
        <v>32</v>
      </c>
    </row>
    <row r="521" spans="1:20" x14ac:dyDescent="0.25">
      <c r="A521" s="18">
        <f t="shared" si="48"/>
        <v>832</v>
      </c>
      <c r="B521" s="20" t="s">
        <v>549</v>
      </c>
      <c r="C521" s="92">
        <v>43456</v>
      </c>
      <c r="D521" s="19" t="str">
        <f t="shared" si="52"/>
        <v>S</v>
      </c>
      <c r="E521" s="19">
        <f t="shared" si="50"/>
        <v>51</v>
      </c>
      <c r="F521" s="18">
        <v>44</v>
      </c>
      <c r="G521" s="18">
        <v>41</v>
      </c>
      <c r="H521" s="18">
        <v>32</v>
      </c>
      <c r="I521" s="18">
        <v>11</v>
      </c>
      <c r="J521" s="18">
        <v>45</v>
      </c>
      <c r="K521" s="18">
        <v>8</v>
      </c>
      <c r="L521" s="18">
        <v>38</v>
      </c>
      <c r="M521" s="18">
        <v>3</v>
      </c>
      <c r="N521" s="18" t="s">
        <v>32</v>
      </c>
    </row>
    <row r="522" spans="1:20" x14ac:dyDescent="0.25">
      <c r="A522" s="18">
        <f t="shared" si="48"/>
        <v>833</v>
      </c>
      <c r="B522" s="20" t="s">
        <v>550</v>
      </c>
      <c r="C522" s="92">
        <v>43461</v>
      </c>
      <c r="D522" s="19" t="str">
        <f t="shared" ref="D522:D523" si="53">CHOOSE(WEEKDAY(C522),"D","L","M","X","J","V","S")</f>
        <v>J</v>
      </c>
      <c r="E522" s="19">
        <f t="shared" ref="E522:E523" si="54">WEEKNUM(C522,21)</f>
        <v>52</v>
      </c>
      <c r="F522" s="18">
        <v>42</v>
      </c>
      <c r="G522" s="18">
        <v>35</v>
      </c>
      <c r="H522" s="18">
        <v>23</v>
      </c>
      <c r="I522" s="18">
        <v>29</v>
      </c>
      <c r="J522" s="18">
        <v>1</v>
      </c>
      <c r="K522" s="18">
        <v>31</v>
      </c>
      <c r="L522" s="18">
        <v>20</v>
      </c>
      <c r="M522" s="18">
        <v>6</v>
      </c>
      <c r="N522" s="18" t="s">
        <v>32</v>
      </c>
    </row>
    <row r="523" spans="1:20" x14ac:dyDescent="0.25">
      <c r="A523" s="18">
        <f t="shared" si="48"/>
        <v>834</v>
      </c>
      <c r="B523" s="20" t="s">
        <v>551</v>
      </c>
      <c r="C523" s="92">
        <v>43463</v>
      </c>
      <c r="D523" s="19" t="str">
        <f t="shared" si="53"/>
        <v>S</v>
      </c>
      <c r="E523" s="19">
        <f t="shared" si="54"/>
        <v>52</v>
      </c>
      <c r="F523" s="18">
        <v>32</v>
      </c>
      <c r="G523" s="18">
        <v>28</v>
      </c>
      <c r="H523" s="18">
        <v>20</v>
      </c>
      <c r="I523" s="18">
        <v>7</v>
      </c>
      <c r="J523" s="18">
        <v>15</v>
      </c>
      <c r="K523" s="18">
        <v>42</v>
      </c>
      <c r="L523" s="18">
        <v>17</v>
      </c>
      <c r="M523" s="18">
        <v>3</v>
      </c>
      <c r="N523" s="18" t="s">
        <v>32</v>
      </c>
    </row>
    <row r="524" spans="1:20" x14ac:dyDescent="0.25">
      <c r="A524" s="18">
        <f t="shared" si="48"/>
        <v>835</v>
      </c>
      <c r="B524" s="20" t="s">
        <v>552</v>
      </c>
      <c r="C524" s="92">
        <v>43468</v>
      </c>
      <c r="D524" s="19" t="str">
        <f t="shared" ref="D524" si="55">CHOOSE(WEEKDAY(C524),"D","L","M","X","J","V","S")</f>
        <v>J</v>
      </c>
      <c r="E524" s="19">
        <f t="shared" ref="E524" si="56">WEEKNUM(C524,21)</f>
        <v>1</v>
      </c>
      <c r="F524" s="18">
        <v>7</v>
      </c>
      <c r="G524" s="18">
        <v>49</v>
      </c>
      <c r="H524" s="18">
        <v>23</v>
      </c>
      <c r="I524" s="18">
        <v>13</v>
      </c>
      <c r="J524" s="18">
        <v>40</v>
      </c>
      <c r="K524" s="18">
        <v>41</v>
      </c>
      <c r="L524" s="18">
        <v>16</v>
      </c>
      <c r="M524" s="18">
        <v>3</v>
      </c>
      <c r="N524" s="18" t="s">
        <v>32</v>
      </c>
    </row>
    <row r="525" spans="1:20" x14ac:dyDescent="0.25">
      <c r="A525" s="18">
        <f t="shared" si="48"/>
        <v>836</v>
      </c>
      <c r="B525" s="20" t="s">
        <v>553</v>
      </c>
      <c r="C525" s="92">
        <v>43470</v>
      </c>
      <c r="D525" s="19" t="str">
        <f t="shared" ref="D525:D526" si="57">CHOOSE(WEEKDAY(C525),"D","L","M","X","J","V","S")</f>
        <v>S</v>
      </c>
      <c r="E525" s="19">
        <f>WEEKNUM(C525,21)</f>
        <v>1</v>
      </c>
      <c r="F525" s="18">
        <v>21</v>
      </c>
      <c r="G525" s="18">
        <v>41</v>
      </c>
      <c r="H525" s="18">
        <v>37</v>
      </c>
      <c r="I525" s="18">
        <v>19</v>
      </c>
      <c r="J525" s="18">
        <v>49</v>
      </c>
      <c r="K525" s="18">
        <v>29</v>
      </c>
      <c r="L525" s="18">
        <v>26</v>
      </c>
      <c r="M525" s="18">
        <v>0</v>
      </c>
      <c r="N525" s="18" t="s">
        <v>32</v>
      </c>
    </row>
    <row r="526" spans="1:20" x14ac:dyDescent="0.25">
      <c r="A526" s="18">
        <f t="shared" si="48"/>
        <v>837</v>
      </c>
      <c r="B526" s="20" t="s">
        <v>554</v>
      </c>
      <c r="C526" s="92">
        <v>43475</v>
      </c>
      <c r="D526" s="19" t="str">
        <f t="shared" si="57"/>
        <v>J</v>
      </c>
      <c r="E526" s="19">
        <f t="shared" ref="E526" si="58">WEEKNUM(C526,21)</f>
        <v>2</v>
      </c>
      <c r="F526" s="18">
        <v>28</v>
      </c>
      <c r="G526" s="18">
        <v>10</v>
      </c>
      <c r="H526" s="18">
        <v>6</v>
      </c>
      <c r="I526" s="18">
        <v>15</v>
      </c>
      <c r="J526" s="18">
        <v>14</v>
      </c>
      <c r="K526" s="18">
        <v>13</v>
      </c>
      <c r="L526" s="18">
        <v>1</v>
      </c>
      <c r="M526" s="18">
        <v>5</v>
      </c>
      <c r="N526" s="18" t="s">
        <v>32</v>
      </c>
    </row>
    <row r="527" spans="1:20" ht="15" x14ac:dyDescent="0.25">
      <c r="A527" s="18">
        <f t="shared" si="48"/>
        <v>838</v>
      </c>
      <c r="B527" s="20" t="s">
        <v>555</v>
      </c>
      <c r="C527" s="92">
        <v>43477</v>
      </c>
      <c r="D527" s="19" t="str">
        <f t="shared" ref="D527:D528" si="59">CHOOSE(WEEKDAY(C527),"D","L","M","X","J","V","S")</f>
        <v>S</v>
      </c>
      <c r="E527" s="19">
        <f t="shared" ref="E527" si="60">WEEKNUM(C527,21)</f>
        <v>2</v>
      </c>
      <c r="F527" s="18">
        <v>7</v>
      </c>
      <c r="G527" s="18">
        <v>32</v>
      </c>
      <c r="H527" s="18">
        <v>3</v>
      </c>
      <c r="I527" s="18">
        <v>43</v>
      </c>
      <c r="J527" s="18">
        <v>41</v>
      </c>
      <c r="K527" s="18">
        <v>6</v>
      </c>
      <c r="L527" s="18">
        <v>27</v>
      </c>
      <c r="M527" s="18">
        <v>7</v>
      </c>
      <c r="N527" s="18" t="s">
        <v>32</v>
      </c>
      <c r="T527"/>
    </row>
    <row r="528" spans="1:20" ht="15" x14ac:dyDescent="0.25">
      <c r="A528" s="18">
        <f t="shared" si="48"/>
        <v>839</v>
      </c>
      <c r="B528" s="20" t="s">
        <v>556</v>
      </c>
      <c r="C528" s="92">
        <v>43482</v>
      </c>
      <c r="D528" s="19" t="str">
        <f t="shared" si="59"/>
        <v>J</v>
      </c>
      <c r="E528" s="19">
        <f t="shared" ref="E528:E533" si="61">WEEKNUM(C528,21)</f>
        <v>3</v>
      </c>
      <c r="F528" s="18">
        <v>19</v>
      </c>
      <c r="G528" s="18">
        <v>24</v>
      </c>
      <c r="H528" s="18">
        <v>30</v>
      </c>
      <c r="I528" s="18">
        <v>47</v>
      </c>
      <c r="J528" s="18">
        <v>26</v>
      </c>
      <c r="K528" s="18">
        <v>8</v>
      </c>
      <c r="L528" s="18">
        <v>7</v>
      </c>
      <c r="M528" s="18">
        <v>4</v>
      </c>
      <c r="N528" s="18" t="s">
        <v>32</v>
      </c>
      <c r="T528"/>
    </row>
    <row r="529" spans="1:20" ht="15" x14ac:dyDescent="0.25">
      <c r="A529" s="18">
        <f t="shared" si="48"/>
        <v>840</v>
      </c>
      <c r="B529" s="20" t="s">
        <v>557</v>
      </c>
      <c r="C529" s="92">
        <v>43484</v>
      </c>
      <c r="D529" s="19" t="str">
        <f t="shared" ref="D529" si="62">CHOOSE(WEEKDAY(C529),"D","L","M","X","J","V","S")</f>
        <v>S</v>
      </c>
      <c r="E529" s="19">
        <f t="shared" si="61"/>
        <v>3</v>
      </c>
      <c r="F529" s="18">
        <v>32</v>
      </c>
      <c r="G529" s="18">
        <v>8</v>
      </c>
      <c r="H529" s="18">
        <v>36</v>
      </c>
      <c r="I529" s="18">
        <v>41</v>
      </c>
      <c r="J529" s="18">
        <v>24</v>
      </c>
      <c r="K529" s="18">
        <v>7</v>
      </c>
      <c r="L529" s="18">
        <v>11</v>
      </c>
      <c r="M529" s="18">
        <v>9</v>
      </c>
      <c r="N529" s="18" t="s">
        <v>32</v>
      </c>
      <c r="T529"/>
    </row>
    <row r="530" spans="1:20" ht="15" x14ac:dyDescent="0.25">
      <c r="A530" s="18">
        <f t="shared" si="48"/>
        <v>841</v>
      </c>
      <c r="B530" s="20" t="s">
        <v>558</v>
      </c>
      <c r="C530" s="92">
        <v>43489</v>
      </c>
      <c r="D530" s="19" t="str">
        <f t="shared" ref="D530:D531" si="63">CHOOSE(WEEKDAY(C530),"D","L","M","X","J","V","S")</f>
        <v>J</v>
      </c>
      <c r="E530" s="19">
        <f t="shared" si="61"/>
        <v>4</v>
      </c>
      <c r="F530" s="18">
        <v>18</v>
      </c>
      <c r="G530" s="18">
        <v>49</v>
      </c>
      <c r="H530" s="18">
        <v>2</v>
      </c>
      <c r="I530" s="18">
        <v>35</v>
      </c>
      <c r="J530" s="18">
        <v>14</v>
      </c>
      <c r="K530" s="18">
        <v>5</v>
      </c>
      <c r="L530" s="18">
        <v>32</v>
      </c>
      <c r="M530" s="18">
        <v>4</v>
      </c>
      <c r="N530" s="18" t="s">
        <v>32</v>
      </c>
      <c r="T530"/>
    </row>
    <row r="531" spans="1:20" x14ac:dyDescent="0.25">
      <c r="A531" s="18">
        <f t="shared" si="48"/>
        <v>842</v>
      </c>
      <c r="B531" s="20" t="s">
        <v>559</v>
      </c>
      <c r="C531" s="92">
        <v>43491</v>
      </c>
      <c r="D531" s="19" t="str">
        <f t="shared" si="63"/>
        <v>S</v>
      </c>
      <c r="E531" s="19">
        <f t="shared" si="61"/>
        <v>4</v>
      </c>
      <c r="F531" s="18">
        <v>34</v>
      </c>
      <c r="G531" s="18">
        <v>37</v>
      </c>
      <c r="H531" s="18">
        <v>43</v>
      </c>
      <c r="I531" s="18">
        <v>24</v>
      </c>
      <c r="J531" s="18">
        <v>8</v>
      </c>
      <c r="K531" s="18">
        <v>48</v>
      </c>
      <c r="L531" s="18">
        <v>29</v>
      </c>
      <c r="M531" s="18">
        <v>3</v>
      </c>
      <c r="N531" s="18" t="s">
        <v>32</v>
      </c>
    </row>
    <row r="532" spans="1:20" x14ac:dyDescent="0.25">
      <c r="A532" s="18">
        <f t="shared" si="48"/>
        <v>843</v>
      </c>
      <c r="B532" s="20" t="s">
        <v>560</v>
      </c>
      <c r="C532" s="92">
        <v>43496</v>
      </c>
      <c r="D532" s="19" t="str">
        <f>CHOOSE(WEEKDAY(C532),"D","L","M","X","J","V","S")</f>
        <v>J</v>
      </c>
      <c r="E532" s="19">
        <f t="shared" si="61"/>
        <v>5</v>
      </c>
      <c r="F532" s="19">
        <v>23</v>
      </c>
      <c r="G532" s="18">
        <v>5</v>
      </c>
      <c r="H532" s="18">
        <v>33</v>
      </c>
      <c r="I532" s="18">
        <v>7</v>
      </c>
      <c r="J532" s="18">
        <v>42</v>
      </c>
      <c r="K532" s="18">
        <v>25</v>
      </c>
      <c r="L532" s="18">
        <v>14</v>
      </c>
      <c r="M532" s="18">
        <v>1</v>
      </c>
      <c r="N532" s="18" t="s">
        <v>32</v>
      </c>
    </row>
    <row r="533" spans="1:20" x14ac:dyDescent="0.25">
      <c r="A533" s="18">
        <f t="shared" si="48"/>
        <v>844</v>
      </c>
      <c r="B533" s="20" t="s">
        <v>561</v>
      </c>
      <c r="C533" s="92">
        <v>43498</v>
      </c>
      <c r="D533" s="19" t="str">
        <f t="shared" ref="D533" si="64">CHOOSE(WEEKDAY(C533),"D","L","M","X","J","V","S")</f>
        <v>S</v>
      </c>
      <c r="E533" s="19">
        <f t="shared" si="61"/>
        <v>5</v>
      </c>
      <c r="F533" s="18">
        <v>47</v>
      </c>
      <c r="G533" s="18">
        <v>43</v>
      </c>
      <c r="H533" s="18">
        <v>25</v>
      </c>
      <c r="I533" s="18">
        <v>8</v>
      </c>
      <c r="J533" s="18">
        <v>21</v>
      </c>
      <c r="K533" s="18">
        <v>27</v>
      </c>
      <c r="L533" s="18">
        <v>12</v>
      </c>
      <c r="M533" s="18">
        <v>3</v>
      </c>
      <c r="N533" s="18" t="s">
        <v>32</v>
      </c>
    </row>
    <row r="534" spans="1:20" x14ac:dyDescent="0.25">
      <c r="A534" s="18">
        <f t="shared" si="48"/>
        <v>845</v>
      </c>
      <c r="B534" s="20" t="s">
        <v>562</v>
      </c>
      <c r="C534" s="92">
        <v>43503</v>
      </c>
      <c r="D534" s="19" t="str">
        <f t="shared" ref="D534:D535" si="65">CHOOSE(WEEKDAY(C534),"D","L","M","X","J","V","S")</f>
        <v>J</v>
      </c>
      <c r="E534" s="19">
        <f t="shared" ref="E534:E535" si="66">WEEKNUM(C534,21)</f>
        <v>6</v>
      </c>
      <c r="F534" s="18">
        <v>7</v>
      </c>
      <c r="G534" s="18">
        <v>37</v>
      </c>
      <c r="H534" s="18">
        <v>8</v>
      </c>
      <c r="I534" s="18">
        <v>27</v>
      </c>
      <c r="J534" s="18">
        <v>45</v>
      </c>
      <c r="K534" s="18">
        <v>41</v>
      </c>
      <c r="L534" s="18">
        <v>14</v>
      </c>
      <c r="M534" s="18">
        <v>1</v>
      </c>
      <c r="N534" s="18" t="s">
        <v>32</v>
      </c>
    </row>
    <row r="535" spans="1:20" x14ac:dyDescent="0.25">
      <c r="A535" s="18">
        <f t="shared" si="48"/>
        <v>846</v>
      </c>
      <c r="B535" s="20" t="s">
        <v>563</v>
      </c>
      <c r="C535" s="92">
        <v>43505</v>
      </c>
      <c r="D535" s="19" t="str">
        <f t="shared" si="65"/>
        <v>S</v>
      </c>
      <c r="E535" s="19">
        <f t="shared" si="66"/>
        <v>6</v>
      </c>
      <c r="F535" s="18">
        <v>30</v>
      </c>
      <c r="G535" s="18">
        <v>27</v>
      </c>
      <c r="H535" s="18">
        <v>49</v>
      </c>
      <c r="I535" s="18">
        <v>40</v>
      </c>
      <c r="J535" s="18">
        <v>36</v>
      </c>
      <c r="K535" s="18">
        <v>35</v>
      </c>
      <c r="L535" s="18">
        <v>21</v>
      </c>
      <c r="M535" s="18">
        <v>3</v>
      </c>
      <c r="N535" s="18" t="s">
        <v>32</v>
      </c>
    </row>
    <row r="536" spans="1:20" x14ac:dyDescent="0.25">
      <c r="A536" s="18">
        <f t="shared" si="48"/>
        <v>847</v>
      </c>
      <c r="B536" s="20" t="s">
        <v>564</v>
      </c>
      <c r="C536" s="92">
        <v>43510</v>
      </c>
      <c r="D536" s="19" t="str">
        <f t="shared" ref="D536" si="67">CHOOSE(WEEKDAY(C536),"D","L","M","X","J","V","S")</f>
        <v>J</v>
      </c>
      <c r="E536" s="19">
        <f t="shared" ref="E536:E541" si="68">WEEKNUM(C536,21)</f>
        <v>7</v>
      </c>
      <c r="F536" s="18">
        <v>3</v>
      </c>
      <c r="G536" s="18">
        <v>28</v>
      </c>
      <c r="H536" s="18">
        <v>40</v>
      </c>
      <c r="I536" s="18">
        <v>42</v>
      </c>
      <c r="J536" s="18">
        <v>34</v>
      </c>
      <c r="K536" s="18">
        <v>10</v>
      </c>
      <c r="L536" s="18">
        <v>1</v>
      </c>
      <c r="M536" s="18">
        <v>2</v>
      </c>
      <c r="N536" s="18" t="s">
        <v>32</v>
      </c>
    </row>
    <row r="537" spans="1:20" x14ac:dyDescent="0.25">
      <c r="A537" s="18">
        <f t="shared" si="48"/>
        <v>848</v>
      </c>
      <c r="B537" s="20" t="s">
        <v>565</v>
      </c>
      <c r="C537" s="92">
        <v>43512</v>
      </c>
      <c r="D537" s="19" t="str">
        <f t="shared" ref="D537" si="69">CHOOSE(WEEKDAY(C537),"D","L","M","X","J","V","S")</f>
        <v>S</v>
      </c>
      <c r="E537" s="19">
        <f t="shared" si="68"/>
        <v>7</v>
      </c>
      <c r="F537" s="18">
        <v>24</v>
      </c>
      <c r="G537" s="18">
        <v>49</v>
      </c>
      <c r="H537" s="18">
        <v>25</v>
      </c>
      <c r="I537" s="18">
        <v>8</v>
      </c>
      <c r="J537" s="18">
        <v>29</v>
      </c>
      <c r="K537" s="18">
        <v>19</v>
      </c>
      <c r="L537" s="18">
        <v>38</v>
      </c>
      <c r="M537" s="18">
        <v>3</v>
      </c>
      <c r="N537" s="18" t="s">
        <v>32</v>
      </c>
    </row>
    <row r="538" spans="1:20" x14ac:dyDescent="0.25">
      <c r="A538" s="18">
        <f t="shared" si="48"/>
        <v>849</v>
      </c>
      <c r="B538" s="20" t="s">
        <v>566</v>
      </c>
      <c r="C538" s="92">
        <v>43517</v>
      </c>
      <c r="D538" s="19" t="str">
        <f t="shared" ref="D538" si="70">CHOOSE(WEEKDAY(C538),"D","L","M","X","J","V","S")</f>
        <v>J</v>
      </c>
      <c r="E538" s="19">
        <f t="shared" si="68"/>
        <v>8</v>
      </c>
      <c r="F538" s="18">
        <v>13</v>
      </c>
      <c r="G538" s="18">
        <v>48</v>
      </c>
      <c r="H538" s="18">
        <v>26</v>
      </c>
      <c r="I538" s="18">
        <v>4</v>
      </c>
      <c r="J538" s="18">
        <v>40</v>
      </c>
      <c r="K538" s="18">
        <v>41</v>
      </c>
      <c r="L538" s="18">
        <v>6</v>
      </c>
      <c r="M538" s="18">
        <v>7</v>
      </c>
      <c r="N538" s="18" t="s">
        <v>32</v>
      </c>
    </row>
    <row r="539" spans="1:20" x14ac:dyDescent="0.25">
      <c r="A539" s="18">
        <f t="shared" si="48"/>
        <v>850</v>
      </c>
      <c r="B539" s="20" t="s">
        <v>567</v>
      </c>
      <c r="C539" s="92">
        <v>43519</v>
      </c>
      <c r="D539" s="19" t="str">
        <f t="shared" ref="D539" si="71">CHOOSE(WEEKDAY(C539),"D","L","M","X","J","V","S")</f>
        <v>S</v>
      </c>
      <c r="E539" s="19">
        <f t="shared" si="68"/>
        <v>8</v>
      </c>
      <c r="F539" s="18">
        <v>48</v>
      </c>
      <c r="G539" s="18">
        <v>38</v>
      </c>
      <c r="H539" s="18">
        <v>15</v>
      </c>
      <c r="I539" s="18">
        <v>28</v>
      </c>
      <c r="J539" s="18">
        <v>29</v>
      </c>
      <c r="K539" s="18">
        <v>7</v>
      </c>
      <c r="L539" s="18">
        <v>22</v>
      </c>
      <c r="M539" s="18">
        <v>6</v>
      </c>
      <c r="N539" s="18" t="s">
        <v>32</v>
      </c>
    </row>
    <row r="540" spans="1:20" x14ac:dyDescent="0.25">
      <c r="A540" s="18">
        <f t="shared" si="48"/>
        <v>851</v>
      </c>
      <c r="B540" s="20" t="s">
        <v>568</v>
      </c>
      <c r="C540" s="92">
        <v>43524</v>
      </c>
      <c r="D540" s="19" t="str">
        <f t="shared" ref="D540" si="72">CHOOSE(WEEKDAY(C540),"D","L","M","X","J","V","S")</f>
        <v>J</v>
      </c>
      <c r="E540" s="19">
        <f t="shared" si="68"/>
        <v>9</v>
      </c>
      <c r="F540" s="18">
        <v>2</v>
      </c>
      <c r="G540" s="18">
        <v>34</v>
      </c>
      <c r="H540" s="18">
        <v>29</v>
      </c>
      <c r="I540" s="18">
        <v>36</v>
      </c>
      <c r="J540" s="18">
        <v>22</v>
      </c>
      <c r="K540" s="18">
        <v>20</v>
      </c>
      <c r="L540" s="18">
        <v>28</v>
      </c>
      <c r="M540" s="18">
        <v>2</v>
      </c>
      <c r="N540" s="18" t="s">
        <v>32</v>
      </c>
    </row>
    <row r="541" spans="1:20" x14ac:dyDescent="0.25">
      <c r="A541" s="18">
        <f t="shared" si="48"/>
        <v>852</v>
      </c>
      <c r="B541" s="20" t="s">
        <v>569</v>
      </c>
      <c r="C541" s="92">
        <v>43526</v>
      </c>
      <c r="D541" s="19" t="str">
        <f t="shared" ref="D541" si="73">CHOOSE(WEEKDAY(C541),"D","L","M","X","J","V","S")</f>
        <v>S</v>
      </c>
      <c r="E541" s="19">
        <f t="shared" si="68"/>
        <v>9</v>
      </c>
      <c r="F541" s="18">
        <v>19</v>
      </c>
      <c r="G541" s="18">
        <v>35</v>
      </c>
      <c r="H541" s="18">
        <v>40</v>
      </c>
      <c r="I541" s="18">
        <v>3</v>
      </c>
      <c r="J541" s="18">
        <v>5</v>
      </c>
      <c r="K541" s="18">
        <v>47</v>
      </c>
      <c r="L541" s="18">
        <v>30</v>
      </c>
      <c r="M541" s="18">
        <v>1</v>
      </c>
      <c r="N541" s="18" t="s">
        <v>32</v>
      </c>
    </row>
    <row r="542" spans="1:20" x14ac:dyDescent="0.25">
      <c r="A542" s="18">
        <f t="shared" si="48"/>
        <v>853</v>
      </c>
      <c r="B542" s="20" t="s">
        <v>570</v>
      </c>
      <c r="C542" s="92">
        <v>43531</v>
      </c>
      <c r="D542" s="19" t="str">
        <f t="shared" ref="D542" si="74">CHOOSE(WEEKDAY(C542),"D","L","M","X","J","V","S")</f>
        <v>J</v>
      </c>
      <c r="E542" s="19">
        <f t="shared" ref="E542:E547" si="75">WEEKNUM(C542,21)</f>
        <v>10</v>
      </c>
      <c r="F542" s="18">
        <v>21</v>
      </c>
      <c r="G542" s="18">
        <v>26</v>
      </c>
      <c r="H542" s="18">
        <v>15</v>
      </c>
      <c r="I542" s="18">
        <v>4</v>
      </c>
      <c r="J542" s="18">
        <v>40</v>
      </c>
      <c r="K542" s="18">
        <v>6</v>
      </c>
      <c r="L542" s="18">
        <v>32</v>
      </c>
      <c r="M542" s="18">
        <v>0</v>
      </c>
      <c r="N542" s="18" t="s">
        <v>32</v>
      </c>
    </row>
    <row r="543" spans="1:20" x14ac:dyDescent="0.25">
      <c r="A543" s="18">
        <f t="shared" si="48"/>
        <v>854</v>
      </c>
      <c r="B543" s="20" t="s">
        <v>571</v>
      </c>
      <c r="C543" s="92">
        <v>43533</v>
      </c>
      <c r="D543" s="19" t="str">
        <f t="shared" ref="D543:D544" si="76">CHOOSE(WEEKDAY(C543),"D","L","M","X","J","V","S")</f>
        <v>S</v>
      </c>
      <c r="E543" s="19">
        <f t="shared" si="75"/>
        <v>10</v>
      </c>
      <c r="F543" s="18">
        <v>37</v>
      </c>
      <c r="G543" s="18">
        <v>25</v>
      </c>
      <c r="H543" s="18">
        <v>3</v>
      </c>
      <c r="I543" s="18">
        <v>43</v>
      </c>
      <c r="J543" s="18">
        <v>46</v>
      </c>
      <c r="K543" s="18">
        <v>23</v>
      </c>
      <c r="L543" s="18">
        <v>16</v>
      </c>
      <c r="M543" s="18">
        <v>0</v>
      </c>
      <c r="N543" s="18" t="s">
        <v>32</v>
      </c>
    </row>
    <row r="544" spans="1:20" x14ac:dyDescent="0.25">
      <c r="A544" s="18">
        <f t="shared" si="48"/>
        <v>855</v>
      </c>
      <c r="B544" s="20" t="s">
        <v>572</v>
      </c>
      <c r="C544" s="92">
        <v>43538</v>
      </c>
      <c r="D544" s="19" t="str">
        <f t="shared" si="76"/>
        <v>J</v>
      </c>
      <c r="E544" s="19">
        <f t="shared" si="75"/>
        <v>11</v>
      </c>
      <c r="F544" s="18">
        <v>17</v>
      </c>
      <c r="G544" s="18">
        <v>43</v>
      </c>
      <c r="H544" s="18">
        <v>10</v>
      </c>
      <c r="I544" s="18">
        <v>23</v>
      </c>
      <c r="J544" s="18">
        <v>16</v>
      </c>
      <c r="K544" s="18">
        <v>27</v>
      </c>
      <c r="L544" s="18">
        <v>39</v>
      </c>
      <c r="M544" s="18">
        <v>3</v>
      </c>
      <c r="N544" s="18" t="s">
        <v>32</v>
      </c>
    </row>
    <row r="545" spans="1:14" x14ac:dyDescent="0.25">
      <c r="A545" s="18">
        <f t="shared" si="48"/>
        <v>856</v>
      </c>
      <c r="B545" s="20" t="s">
        <v>573</v>
      </c>
      <c r="C545" s="92">
        <v>43540</v>
      </c>
      <c r="D545" s="19" t="str">
        <f>CHOOSE(WEEKDAY(C545),"D","L","M","X","J","V","S")</f>
        <v>S</v>
      </c>
      <c r="E545" s="19">
        <f t="shared" si="75"/>
        <v>11</v>
      </c>
      <c r="F545" s="18">
        <v>31</v>
      </c>
      <c r="G545" s="18">
        <v>19</v>
      </c>
      <c r="H545" s="18">
        <v>29</v>
      </c>
      <c r="I545" s="18">
        <v>6</v>
      </c>
      <c r="J545" s="18">
        <v>38</v>
      </c>
      <c r="K545" s="18">
        <v>17</v>
      </c>
      <c r="L545" s="18">
        <v>35</v>
      </c>
      <c r="M545" s="18">
        <v>4</v>
      </c>
      <c r="N545" s="18" t="s">
        <v>32</v>
      </c>
    </row>
    <row r="546" spans="1:14" x14ac:dyDescent="0.25">
      <c r="A546" s="18">
        <f t="shared" si="48"/>
        <v>857</v>
      </c>
      <c r="B546" s="20" t="s">
        <v>574</v>
      </c>
      <c r="C546" s="92">
        <v>43545</v>
      </c>
      <c r="D546" s="19" t="str">
        <f t="shared" ref="D546" si="77">CHOOSE(WEEKDAY(C546),"D","L","M","X","J","V","S")</f>
        <v>J</v>
      </c>
      <c r="E546" s="19">
        <f t="shared" si="75"/>
        <v>12</v>
      </c>
      <c r="F546" s="18">
        <v>44</v>
      </c>
      <c r="G546" s="18">
        <v>17</v>
      </c>
      <c r="H546" s="18">
        <v>38</v>
      </c>
      <c r="I546" s="18">
        <v>49</v>
      </c>
      <c r="J546" s="18">
        <v>22</v>
      </c>
      <c r="K546" s="18">
        <v>47</v>
      </c>
      <c r="L546" s="18">
        <v>46</v>
      </c>
      <c r="M546" s="18">
        <v>5</v>
      </c>
      <c r="N546" s="18" t="s">
        <v>32</v>
      </c>
    </row>
    <row r="547" spans="1:14" x14ac:dyDescent="0.25">
      <c r="A547" s="18">
        <f t="shared" si="48"/>
        <v>858</v>
      </c>
      <c r="B547" s="20" t="s">
        <v>575</v>
      </c>
      <c r="C547" s="92">
        <v>43547</v>
      </c>
      <c r="D547" s="19" t="str">
        <f>CHOOSE(WEEKDAY(C547),"D","L","M","X","J","V","S")</f>
        <v>S</v>
      </c>
      <c r="E547" s="19">
        <f t="shared" si="75"/>
        <v>12</v>
      </c>
      <c r="F547" s="18">
        <v>3</v>
      </c>
      <c r="G547" s="18">
        <v>8</v>
      </c>
      <c r="H547" s="18">
        <v>20</v>
      </c>
      <c r="I547" s="18">
        <v>25</v>
      </c>
      <c r="J547" s="18">
        <v>38</v>
      </c>
      <c r="K547" s="18">
        <v>30</v>
      </c>
      <c r="L547" s="18">
        <v>24</v>
      </c>
      <c r="M547" s="18">
        <v>0</v>
      </c>
      <c r="N547" s="18" t="s">
        <v>32</v>
      </c>
    </row>
    <row r="548" spans="1:14" x14ac:dyDescent="0.25">
      <c r="A548" s="18">
        <f t="shared" si="48"/>
        <v>859</v>
      </c>
      <c r="B548" s="20" t="s">
        <v>576</v>
      </c>
      <c r="C548" s="92">
        <v>43552</v>
      </c>
      <c r="D548" s="19" t="str">
        <f t="shared" ref="D548" si="78">CHOOSE(WEEKDAY(C548),"D","L","M","X","J","V","S")</f>
        <v>J</v>
      </c>
      <c r="E548" s="19">
        <f t="shared" ref="E548:E553" si="79">WEEKNUM(C548,21)</f>
        <v>13</v>
      </c>
      <c r="F548" s="18">
        <v>7</v>
      </c>
      <c r="G548" s="18">
        <v>10</v>
      </c>
      <c r="H548" s="18">
        <v>23</v>
      </c>
      <c r="I548" s="18">
        <v>1</v>
      </c>
      <c r="J548" s="18">
        <v>47</v>
      </c>
      <c r="K548" s="18">
        <v>38</v>
      </c>
      <c r="L548" s="18">
        <v>13</v>
      </c>
      <c r="M548" s="18">
        <v>2</v>
      </c>
      <c r="N548" s="18" t="s">
        <v>32</v>
      </c>
    </row>
    <row r="549" spans="1:14" x14ac:dyDescent="0.25">
      <c r="A549" s="18">
        <f t="shared" si="48"/>
        <v>860</v>
      </c>
      <c r="B549" s="20" t="s">
        <v>577</v>
      </c>
      <c r="C549" s="92">
        <v>43554</v>
      </c>
      <c r="D549" s="19" t="str">
        <f t="shared" ref="D549" si="80">CHOOSE(WEEKDAY(C549),"D","L","M","X","J","V","S")</f>
        <v>S</v>
      </c>
      <c r="E549" s="19">
        <f t="shared" si="79"/>
        <v>13</v>
      </c>
      <c r="F549" s="18">
        <v>22</v>
      </c>
      <c r="G549" s="18">
        <v>5</v>
      </c>
      <c r="H549" s="18">
        <v>32</v>
      </c>
      <c r="I549" s="18">
        <v>4</v>
      </c>
      <c r="J549" s="18">
        <v>44</v>
      </c>
      <c r="K549" s="18">
        <v>45</v>
      </c>
      <c r="L549" s="18">
        <v>23</v>
      </c>
      <c r="M549" s="18">
        <v>8</v>
      </c>
      <c r="N549" s="18" t="s">
        <v>32</v>
      </c>
    </row>
    <row r="550" spans="1:14" x14ac:dyDescent="0.25">
      <c r="A550" s="18">
        <f t="shared" si="48"/>
        <v>861</v>
      </c>
      <c r="B550" s="20" t="s">
        <v>578</v>
      </c>
      <c r="C550" s="92">
        <v>43559</v>
      </c>
      <c r="D550" s="19" t="str">
        <f t="shared" ref="D550:D551" si="81">CHOOSE(WEEKDAY(C550),"D","L","M","X","J","V","S")</f>
        <v>J</v>
      </c>
      <c r="E550" s="19">
        <f t="shared" si="79"/>
        <v>14</v>
      </c>
      <c r="F550" s="18">
        <v>6</v>
      </c>
      <c r="G550" s="18">
        <v>16</v>
      </c>
      <c r="H550" s="18">
        <v>36</v>
      </c>
      <c r="I550" s="18">
        <v>37</v>
      </c>
      <c r="J550" s="18">
        <v>25</v>
      </c>
      <c r="K550" s="18">
        <v>17</v>
      </c>
      <c r="L550" s="18">
        <v>44</v>
      </c>
      <c r="M550" s="18">
        <v>3</v>
      </c>
      <c r="N550" s="18" t="s">
        <v>32</v>
      </c>
    </row>
    <row r="551" spans="1:14" x14ac:dyDescent="0.25">
      <c r="A551" s="18">
        <f t="shared" si="48"/>
        <v>862</v>
      </c>
      <c r="B551" s="20" t="s">
        <v>579</v>
      </c>
      <c r="C551" s="92">
        <v>43561</v>
      </c>
      <c r="D551" s="19" t="str">
        <f t="shared" si="81"/>
        <v>S</v>
      </c>
      <c r="E551" s="19">
        <f t="shared" si="79"/>
        <v>14</v>
      </c>
      <c r="F551" s="18">
        <v>44</v>
      </c>
      <c r="G551" s="18">
        <v>1</v>
      </c>
      <c r="H551" s="18">
        <v>39</v>
      </c>
      <c r="I551" s="18">
        <v>14</v>
      </c>
      <c r="J551" s="18">
        <v>33</v>
      </c>
      <c r="K551" s="18">
        <v>10</v>
      </c>
      <c r="L551" s="18">
        <v>20</v>
      </c>
      <c r="M551" s="18">
        <v>7</v>
      </c>
      <c r="N551" s="18" t="s">
        <v>32</v>
      </c>
    </row>
    <row r="552" spans="1:14" x14ac:dyDescent="0.25">
      <c r="A552" s="18">
        <f t="shared" si="48"/>
        <v>863</v>
      </c>
      <c r="B552" s="20" t="s">
        <v>580</v>
      </c>
      <c r="C552" s="92">
        <v>43566</v>
      </c>
      <c r="D552" s="19" t="str">
        <f t="shared" ref="D552:D553" si="82">CHOOSE(WEEKDAY(C552),"D","L","M","X","J","V","S")</f>
        <v>J</v>
      </c>
      <c r="E552" s="19">
        <f t="shared" si="79"/>
        <v>15</v>
      </c>
      <c r="F552" s="18">
        <v>36</v>
      </c>
      <c r="G552" s="18">
        <v>45</v>
      </c>
      <c r="H552" s="18">
        <v>22</v>
      </c>
      <c r="I552" s="18">
        <v>47</v>
      </c>
      <c r="J552" s="18">
        <v>3</v>
      </c>
      <c r="K552" s="18">
        <v>39</v>
      </c>
      <c r="L552" s="18">
        <v>29</v>
      </c>
      <c r="M552" s="18">
        <v>6</v>
      </c>
      <c r="N552" s="18" t="s">
        <v>32</v>
      </c>
    </row>
    <row r="553" spans="1:14" x14ac:dyDescent="0.25">
      <c r="A553" s="18">
        <f t="shared" si="48"/>
        <v>864</v>
      </c>
      <c r="B553" s="20" t="s">
        <v>581</v>
      </c>
      <c r="C553" s="92">
        <v>43568</v>
      </c>
      <c r="D553" s="19" t="str">
        <f t="shared" si="82"/>
        <v>S</v>
      </c>
      <c r="E553" s="19">
        <f t="shared" si="79"/>
        <v>15</v>
      </c>
      <c r="F553" s="18">
        <v>47</v>
      </c>
      <c r="G553" s="18">
        <v>18</v>
      </c>
      <c r="H553" s="18">
        <v>15</v>
      </c>
      <c r="I553" s="18">
        <v>29</v>
      </c>
      <c r="J553" s="18">
        <v>40</v>
      </c>
      <c r="K553" s="18">
        <v>21</v>
      </c>
      <c r="L553" s="18">
        <v>9</v>
      </c>
      <c r="M553" s="18">
        <v>8</v>
      </c>
      <c r="N553" s="18" t="s">
        <v>32</v>
      </c>
    </row>
    <row r="554" spans="1:14" x14ac:dyDescent="0.25">
      <c r="A554" s="18">
        <f t="shared" si="48"/>
        <v>865</v>
      </c>
      <c r="B554" s="20" t="s">
        <v>582</v>
      </c>
      <c r="C554" s="92">
        <v>43573</v>
      </c>
      <c r="D554" s="19" t="str">
        <f t="shared" ref="D554:D555" si="83">CHOOSE(WEEKDAY(C554),"D","L","M","X","J","V","S")</f>
        <v>J</v>
      </c>
      <c r="E554" s="87">
        <f t="shared" ref="E554:E560" si="84">WEEKNUM(C554,21)</f>
        <v>16</v>
      </c>
      <c r="F554" s="88">
        <v>25</v>
      </c>
      <c r="G554" s="88">
        <v>29</v>
      </c>
      <c r="H554" s="88">
        <v>18</v>
      </c>
      <c r="I554" s="88">
        <v>41</v>
      </c>
      <c r="J554" s="88">
        <v>19</v>
      </c>
      <c r="K554" s="88">
        <v>32</v>
      </c>
      <c r="L554" s="88">
        <v>10</v>
      </c>
      <c r="M554" s="88">
        <v>6</v>
      </c>
      <c r="N554" s="18" t="s">
        <v>32</v>
      </c>
    </row>
    <row r="555" spans="1:14" x14ac:dyDescent="0.25">
      <c r="A555" s="18">
        <f t="shared" si="48"/>
        <v>866</v>
      </c>
      <c r="B555" s="20" t="s">
        <v>583</v>
      </c>
      <c r="C555" s="92">
        <v>43575</v>
      </c>
      <c r="D555" s="19" t="str">
        <f t="shared" si="83"/>
        <v>S</v>
      </c>
      <c r="E555" s="19">
        <f t="shared" si="84"/>
        <v>16</v>
      </c>
      <c r="F555" s="18">
        <v>4</v>
      </c>
      <c r="G555" s="18">
        <v>40</v>
      </c>
      <c r="H555" s="18">
        <v>19</v>
      </c>
      <c r="I555" s="18">
        <v>44</v>
      </c>
      <c r="J555" s="18">
        <v>2</v>
      </c>
      <c r="K555" s="18">
        <v>45</v>
      </c>
      <c r="L555" s="18">
        <v>36</v>
      </c>
      <c r="M555" s="18">
        <v>8</v>
      </c>
      <c r="N555" s="18" t="s">
        <v>32</v>
      </c>
    </row>
    <row r="556" spans="1:14" x14ac:dyDescent="0.25">
      <c r="A556" s="18">
        <f t="shared" si="48"/>
        <v>867</v>
      </c>
      <c r="B556" s="20" t="s">
        <v>584</v>
      </c>
      <c r="C556" s="92">
        <v>43580</v>
      </c>
      <c r="D556" s="19" t="str">
        <f t="shared" ref="D556:D557" si="85">CHOOSE(WEEKDAY(C556),"D","L","M","X","J","V","S")</f>
        <v>J</v>
      </c>
      <c r="E556" s="19">
        <f t="shared" si="84"/>
        <v>17</v>
      </c>
      <c r="F556" s="88">
        <v>42</v>
      </c>
      <c r="G556" s="88">
        <v>4</v>
      </c>
      <c r="H556" s="88">
        <v>28</v>
      </c>
      <c r="I556" s="88">
        <v>21</v>
      </c>
      <c r="J556" s="88">
        <v>15</v>
      </c>
      <c r="K556" s="88">
        <v>16</v>
      </c>
      <c r="L556" s="88">
        <v>1</v>
      </c>
      <c r="M556" s="88">
        <v>8</v>
      </c>
      <c r="N556" s="18" t="s">
        <v>32</v>
      </c>
    </row>
    <row r="557" spans="1:14" x14ac:dyDescent="0.25">
      <c r="A557" s="18">
        <f t="shared" si="48"/>
        <v>868</v>
      </c>
      <c r="B557" s="20" t="s">
        <v>585</v>
      </c>
      <c r="C557" s="92">
        <v>43582</v>
      </c>
      <c r="D557" s="19" t="str">
        <f t="shared" si="85"/>
        <v>S</v>
      </c>
      <c r="E557" s="19">
        <f t="shared" si="84"/>
        <v>17</v>
      </c>
      <c r="F557" s="18">
        <v>49</v>
      </c>
      <c r="G557" s="18">
        <v>8</v>
      </c>
      <c r="H557" s="18">
        <v>27</v>
      </c>
      <c r="I557" s="18">
        <v>47</v>
      </c>
      <c r="J557" s="18">
        <v>5</v>
      </c>
      <c r="K557" s="18">
        <v>30</v>
      </c>
      <c r="L557" s="18">
        <v>33</v>
      </c>
      <c r="M557" s="18">
        <v>3</v>
      </c>
      <c r="N557" s="18" t="s">
        <v>32</v>
      </c>
    </row>
    <row r="558" spans="1:14" x14ac:dyDescent="0.25">
      <c r="A558" s="18">
        <f t="shared" si="48"/>
        <v>869</v>
      </c>
      <c r="B558" s="20" t="s">
        <v>586</v>
      </c>
      <c r="C558" s="92">
        <v>43587</v>
      </c>
      <c r="D558" s="19" t="str">
        <f t="shared" ref="D558:D559" si="86">CHOOSE(WEEKDAY(C558),"D","L","M","X","J","V","S")</f>
        <v>J</v>
      </c>
      <c r="E558" s="19">
        <f t="shared" si="84"/>
        <v>18</v>
      </c>
      <c r="F558" s="18">
        <v>24</v>
      </c>
      <c r="G558" s="18">
        <v>22</v>
      </c>
      <c r="H558" s="18">
        <v>11</v>
      </c>
      <c r="I558" s="18">
        <v>6</v>
      </c>
      <c r="J558" s="18">
        <v>15</v>
      </c>
      <c r="K558" s="18">
        <v>3</v>
      </c>
      <c r="L558" s="18">
        <v>12</v>
      </c>
      <c r="M558" s="18">
        <v>9</v>
      </c>
      <c r="N558" s="18" t="s">
        <v>32</v>
      </c>
    </row>
    <row r="559" spans="1:14" x14ac:dyDescent="0.2">
      <c r="A559" s="18">
        <f t="shared" si="48"/>
        <v>870</v>
      </c>
      <c r="B559" s="20" t="s">
        <v>587</v>
      </c>
      <c r="C559" s="93">
        <v>43589</v>
      </c>
      <c r="D559" s="19" t="str">
        <f t="shared" si="86"/>
        <v>S</v>
      </c>
      <c r="E559" s="19">
        <f t="shared" si="84"/>
        <v>18</v>
      </c>
      <c r="F559" s="18">
        <v>48</v>
      </c>
      <c r="G559" s="18">
        <v>47</v>
      </c>
      <c r="H559" s="18">
        <v>34</v>
      </c>
      <c r="I559" s="18">
        <v>35</v>
      </c>
      <c r="J559" s="18">
        <v>21</v>
      </c>
      <c r="K559" s="18">
        <v>9</v>
      </c>
      <c r="L559" s="18">
        <v>12</v>
      </c>
      <c r="M559" s="18">
        <v>7</v>
      </c>
      <c r="N559" s="18" t="s">
        <v>32</v>
      </c>
    </row>
    <row r="560" spans="1:14" x14ac:dyDescent="0.25">
      <c r="A560" s="18">
        <f t="shared" si="48"/>
        <v>871</v>
      </c>
      <c r="B560" s="20" t="s">
        <v>588</v>
      </c>
      <c r="C560" s="92">
        <v>43594</v>
      </c>
      <c r="D560" s="19" t="str">
        <f t="shared" ref="D560:D561" si="87">CHOOSE(WEEKDAY(C560),"D","L","M","X","J","V","S")</f>
        <v>J</v>
      </c>
      <c r="E560" s="19">
        <f t="shared" si="84"/>
        <v>19</v>
      </c>
      <c r="F560" s="18">
        <v>35</v>
      </c>
      <c r="G560" s="18">
        <v>21</v>
      </c>
      <c r="H560" s="18">
        <v>24</v>
      </c>
      <c r="I560" s="18">
        <v>11</v>
      </c>
      <c r="J560" s="18">
        <v>26</v>
      </c>
      <c r="K560" s="18">
        <v>38</v>
      </c>
      <c r="L560" s="18">
        <v>6</v>
      </c>
      <c r="M560" s="18">
        <v>1</v>
      </c>
      <c r="N560" s="18" t="s">
        <v>32</v>
      </c>
    </row>
    <row r="561" spans="1:14" x14ac:dyDescent="0.2">
      <c r="A561" s="18">
        <f t="shared" si="48"/>
        <v>872</v>
      </c>
      <c r="B561" s="20" t="s">
        <v>589</v>
      </c>
      <c r="C561" s="93">
        <v>43596</v>
      </c>
      <c r="D561" s="19" t="str">
        <f t="shared" si="87"/>
        <v>S</v>
      </c>
      <c r="E561" s="19">
        <f>WEEKNUM(C561,21)</f>
        <v>19</v>
      </c>
      <c r="F561" s="18">
        <v>15</v>
      </c>
      <c r="G561" s="18">
        <v>28</v>
      </c>
      <c r="H561" s="18">
        <v>45</v>
      </c>
      <c r="I561" s="18">
        <v>47</v>
      </c>
      <c r="J561" s="18">
        <v>17</v>
      </c>
      <c r="K561" s="18">
        <v>7</v>
      </c>
      <c r="L561" s="18">
        <v>11</v>
      </c>
      <c r="M561" s="18">
        <v>7</v>
      </c>
      <c r="N561" s="18" t="s">
        <v>32</v>
      </c>
    </row>
    <row r="562" spans="1:14" x14ac:dyDescent="0.25">
      <c r="A562" s="18">
        <f t="shared" si="48"/>
        <v>873</v>
      </c>
      <c r="B562" s="20" t="s">
        <v>590</v>
      </c>
      <c r="C562" s="92">
        <v>43601</v>
      </c>
      <c r="D562" s="19" t="str">
        <f t="shared" ref="D562:D563" si="88">CHOOSE(WEEKDAY(C562),"D","L","M","X","J","V","S")</f>
        <v>J</v>
      </c>
      <c r="E562" s="19">
        <f t="shared" ref="E562" si="89">WEEKNUM(C562,21)</f>
        <v>20</v>
      </c>
      <c r="F562" s="88">
        <v>31</v>
      </c>
      <c r="G562" s="88">
        <v>27</v>
      </c>
      <c r="H562" s="88">
        <v>33</v>
      </c>
      <c r="I562" s="88">
        <v>15</v>
      </c>
      <c r="J562" s="88">
        <v>1</v>
      </c>
      <c r="K562" s="88">
        <v>29</v>
      </c>
      <c r="L562" s="88">
        <v>26</v>
      </c>
      <c r="M562" s="88">
        <v>2</v>
      </c>
      <c r="N562" s="18" t="s">
        <v>32</v>
      </c>
    </row>
    <row r="563" spans="1:14" x14ac:dyDescent="0.2">
      <c r="A563" s="18">
        <f t="shared" si="48"/>
        <v>874</v>
      </c>
      <c r="B563" s="20" t="s">
        <v>591</v>
      </c>
      <c r="C563" s="93">
        <v>43603</v>
      </c>
      <c r="D563" s="19" t="str">
        <f t="shared" si="88"/>
        <v>S</v>
      </c>
      <c r="E563" s="19">
        <f>WEEKNUM(C563,21)</f>
        <v>20</v>
      </c>
      <c r="F563" s="18">
        <v>30</v>
      </c>
      <c r="G563" s="18">
        <v>16</v>
      </c>
      <c r="H563" s="18">
        <v>19</v>
      </c>
      <c r="I563" s="18">
        <v>3</v>
      </c>
      <c r="J563" s="18">
        <v>47</v>
      </c>
      <c r="K563" s="18">
        <v>36</v>
      </c>
      <c r="L563" s="18">
        <v>12</v>
      </c>
      <c r="M563" s="18">
        <v>4</v>
      </c>
      <c r="N563" s="18" t="s">
        <v>32</v>
      </c>
    </row>
    <row r="564" spans="1:14" x14ac:dyDescent="0.25">
      <c r="A564" s="18">
        <f t="shared" si="48"/>
        <v>875</v>
      </c>
      <c r="B564" s="20" t="s">
        <v>592</v>
      </c>
      <c r="C564" s="92">
        <v>43608</v>
      </c>
      <c r="D564" s="19" t="str">
        <f t="shared" ref="D564" si="90">CHOOSE(WEEKDAY(C564),"D","L","M","X","J","V","S")</f>
        <v>J</v>
      </c>
      <c r="E564" s="19">
        <f t="shared" ref="E564" si="91">WEEKNUM(C564,21)</f>
        <v>21</v>
      </c>
      <c r="F564" s="18">
        <v>18</v>
      </c>
      <c r="G564" s="18">
        <v>39</v>
      </c>
      <c r="H564" s="18">
        <v>11</v>
      </c>
      <c r="I564" s="18">
        <v>16</v>
      </c>
      <c r="J564" s="18">
        <v>14</v>
      </c>
      <c r="K564" s="18">
        <v>41</v>
      </c>
      <c r="L564" s="18">
        <v>43</v>
      </c>
      <c r="M564" s="18">
        <v>7</v>
      </c>
      <c r="N564" s="18" t="s">
        <v>32</v>
      </c>
    </row>
    <row r="565" spans="1:14" x14ac:dyDescent="0.25">
      <c r="A565" s="18">
        <f t="shared" si="48"/>
        <v>876</v>
      </c>
      <c r="B565" s="20" t="s">
        <v>593</v>
      </c>
      <c r="C565" s="92">
        <v>43610</v>
      </c>
      <c r="D565" s="19" t="str">
        <f t="shared" ref="D565" si="92">CHOOSE(WEEKDAY(C565),"D","L","M","X","J","V","S")</f>
        <v>S</v>
      </c>
      <c r="E565" s="87">
        <f t="shared" ref="E565:E570" si="93">WEEKNUM(C565,21)</f>
        <v>21</v>
      </c>
      <c r="F565" s="88">
        <v>38</v>
      </c>
      <c r="G565" s="88">
        <v>4</v>
      </c>
      <c r="H565" s="88">
        <v>17</v>
      </c>
      <c r="I565" s="88">
        <v>19</v>
      </c>
      <c r="J565" s="88">
        <v>36</v>
      </c>
      <c r="K565" s="88">
        <v>48</v>
      </c>
      <c r="L565" s="88">
        <v>6</v>
      </c>
      <c r="M565" s="88">
        <v>2</v>
      </c>
      <c r="N565" s="18" t="s">
        <v>32</v>
      </c>
    </row>
    <row r="566" spans="1:14" x14ac:dyDescent="0.25">
      <c r="A566" s="18">
        <f t="shared" si="48"/>
        <v>877</v>
      </c>
      <c r="B566" s="20" t="s">
        <v>647</v>
      </c>
      <c r="C566" s="92">
        <v>43615</v>
      </c>
      <c r="D566" s="19" t="str">
        <f t="shared" ref="D566" si="94">CHOOSE(WEEKDAY(C566),"D","L","M","X","J","V","S")</f>
        <v>J</v>
      </c>
      <c r="E566" s="19">
        <f t="shared" si="93"/>
        <v>22</v>
      </c>
      <c r="F566" s="18">
        <v>21</v>
      </c>
      <c r="G566" s="18">
        <v>48</v>
      </c>
      <c r="H566" s="18">
        <v>2</v>
      </c>
      <c r="I566" s="18">
        <v>15</v>
      </c>
      <c r="J566" s="18">
        <v>44</v>
      </c>
      <c r="K566" s="18">
        <v>39</v>
      </c>
      <c r="L566" s="18">
        <v>37</v>
      </c>
      <c r="M566" s="18">
        <v>8</v>
      </c>
      <c r="N566" s="18" t="s">
        <v>32</v>
      </c>
    </row>
    <row r="567" spans="1:14" x14ac:dyDescent="0.25">
      <c r="A567" s="18">
        <f t="shared" si="48"/>
        <v>878</v>
      </c>
      <c r="B567" s="20" t="s">
        <v>648</v>
      </c>
      <c r="C567" s="92">
        <v>43617</v>
      </c>
      <c r="D567" s="19" t="str">
        <f t="shared" ref="D567" si="95">CHOOSE(WEEKDAY(C567),"D","L","M","X","J","V","S")</f>
        <v>S</v>
      </c>
      <c r="E567" s="19">
        <f t="shared" si="93"/>
        <v>22</v>
      </c>
      <c r="F567" s="18">
        <v>21</v>
      </c>
      <c r="G567" s="18">
        <v>26</v>
      </c>
      <c r="H567" s="18">
        <v>44</v>
      </c>
      <c r="I567" s="18">
        <v>22</v>
      </c>
      <c r="J567" s="18">
        <v>14</v>
      </c>
      <c r="K567" s="18">
        <v>49</v>
      </c>
      <c r="L567" s="18">
        <v>9</v>
      </c>
      <c r="M567" s="18">
        <v>5</v>
      </c>
      <c r="N567" s="18" t="s">
        <v>32</v>
      </c>
    </row>
    <row r="568" spans="1:14" x14ac:dyDescent="0.25">
      <c r="A568" s="18">
        <f t="shared" si="48"/>
        <v>879</v>
      </c>
      <c r="B568" s="20" t="s">
        <v>649</v>
      </c>
      <c r="C568" s="92">
        <v>43622</v>
      </c>
      <c r="D568" s="19" t="str">
        <f t="shared" ref="D568" si="96">CHOOSE(WEEKDAY(C568),"D","L","M","X","J","V","S")</f>
        <v>J</v>
      </c>
      <c r="E568" s="19">
        <f t="shared" si="93"/>
        <v>23</v>
      </c>
      <c r="F568" s="18">
        <v>45</v>
      </c>
      <c r="G568" s="18">
        <v>17</v>
      </c>
      <c r="H568" s="18">
        <v>6</v>
      </c>
      <c r="I568" s="18">
        <v>11</v>
      </c>
      <c r="J568" s="18">
        <v>21</v>
      </c>
      <c r="K568" s="18">
        <v>36</v>
      </c>
      <c r="L568" s="18">
        <v>3</v>
      </c>
      <c r="M568" s="18">
        <v>7</v>
      </c>
      <c r="N568" s="18" t="s">
        <v>32</v>
      </c>
    </row>
    <row r="569" spans="1:14" x14ac:dyDescent="0.25">
      <c r="A569" s="18">
        <f t="shared" si="48"/>
        <v>880</v>
      </c>
      <c r="B569" s="20" t="s">
        <v>650</v>
      </c>
      <c r="C569" s="92">
        <v>43624</v>
      </c>
      <c r="D569" s="19" t="str">
        <f t="shared" ref="D569:D570" si="97">CHOOSE(WEEKDAY(C569),"D","L","M","X","J","V","S")</f>
        <v>S</v>
      </c>
      <c r="E569" s="19">
        <f t="shared" si="93"/>
        <v>23</v>
      </c>
      <c r="F569" s="18">
        <v>5</v>
      </c>
      <c r="G569" s="18">
        <v>23</v>
      </c>
      <c r="H569" s="88">
        <v>30</v>
      </c>
      <c r="I569" s="88">
        <v>28</v>
      </c>
      <c r="J569" s="88">
        <v>42</v>
      </c>
      <c r="K569" s="88">
        <v>25</v>
      </c>
      <c r="L569" s="88">
        <v>11</v>
      </c>
      <c r="M569" s="88">
        <v>7</v>
      </c>
      <c r="N569" s="18" t="s">
        <v>32</v>
      </c>
    </row>
    <row r="570" spans="1:14" x14ac:dyDescent="0.25">
      <c r="A570" s="18">
        <f t="shared" si="48"/>
        <v>881</v>
      </c>
      <c r="B570" s="20" t="s">
        <v>651</v>
      </c>
      <c r="C570" s="92">
        <v>43629</v>
      </c>
      <c r="D570" s="19" t="str">
        <f t="shared" si="97"/>
        <v>J</v>
      </c>
      <c r="E570" s="19">
        <f t="shared" si="93"/>
        <v>24</v>
      </c>
      <c r="F570" s="18">
        <v>30</v>
      </c>
      <c r="G570" s="18">
        <v>47</v>
      </c>
      <c r="H570" s="18">
        <v>44</v>
      </c>
      <c r="I570" s="18">
        <v>12</v>
      </c>
      <c r="J570" s="18">
        <v>15</v>
      </c>
      <c r="K570" s="18">
        <v>21</v>
      </c>
      <c r="L570" s="18">
        <v>6</v>
      </c>
      <c r="M570" s="18">
        <v>9</v>
      </c>
      <c r="N570" s="18" t="s">
        <v>32</v>
      </c>
    </row>
    <row r="571" spans="1:14" x14ac:dyDescent="0.25">
      <c r="A571" s="18">
        <f t="shared" si="48"/>
        <v>882</v>
      </c>
      <c r="B571" s="20" t="s">
        <v>652</v>
      </c>
      <c r="C571" s="92">
        <v>43631</v>
      </c>
      <c r="D571" s="19" t="str">
        <f t="shared" ref="D571" si="98">CHOOSE(WEEKDAY(C571),"D","L","M","X","J","V","S")</f>
        <v>S</v>
      </c>
      <c r="E571" s="19">
        <f t="shared" ref="E571" si="99">WEEKNUM(C571,21)</f>
        <v>24</v>
      </c>
      <c r="F571" s="18">
        <v>12</v>
      </c>
      <c r="G571" s="18">
        <v>15</v>
      </c>
      <c r="H571" s="18">
        <v>32</v>
      </c>
      <c r="I571" s="18">
        <v>18</v>
      </c>
      <c r="J571" s="18">
        <v>21</v>
      </c>
      <c r="K571" s="18">
        <v>43</v>
      </c>
      <c r="L571" s="18">
        <v>38</v>
      </c>
      <c r="M571" s="18">
        <v>5</v>
      </c>
      <c r="N571" s="18" t="s">
        <v>32</v>
      </c>
    </row>
    <row r="572" spans="1:14" x14ac:dyDescent="0.25">
      <c r="A572" s="18">
        <f t="shared" si="48"/>
        <v>883</v>
      </c>
      <c r="B572" s="20" t="s">
        <v>655</v>
      </c>
      <c r="C572" s="92">
        <v>43636</v>
      </c>
      <c r="D572" s="19" t="str">
        <f t="shared" ref="D572" si="100">CHOOSE(WEEKDAY(C572),"D","L","M","X","J","V","S")</f>
        <v>J</v>
      </c>
      <c r="E572" s="19">
        <f>WEEKNUM(C572,21)</f>
        <v>25</v>
      </c>
      <c r="F572" s="18">
        <v>7</v>
      </c>
      <c r="G572" s="18">
        <v>14</v>
      </c>
      <c r="H572" s="18">
        <v>35</v>
      </c>
      <c r="I572" s="18">
        <v>39</v>
      </c>
      <c r="J572" s="18">
        <v>48</v>
      </c>
      <c r="K572" s="18">
        <v>9</v>
      </c>
      <c r="L572" s="18">
        <v>10</v>
      </c>
      <c r="M572" s="18">
        <v>2</v>
      </c>
      <c r="N572" s="18" t="s">
        <v>32</v>
      </c>
    </row>
    <row r="573" spans="1:14" x14ac:dyDescent="0.25">
      <c r="A573" s="18">
        <f t="shared" si="48"/>
        <v>884</v>
      </c>
      <c r="B573" s="20" t="s">
        <v>656</v>
      </c>
      <c r="C573" s="92">
        <v>43638</v>
      </c>
      <c r="D573" s="87" t="str">
        <f t="shared" ref="D573:D579" si="101">CHOOSE(WEEKDAY(C573),"D","L","M","X","J","V","S")</f>
        <v>S</v>
      </c>
      <c r="E573" s="19">
        <f t="shared" ref="E573" si="102">WEEKNUM(C573,21)</f>
        <v>25</v>
      </c>
      <c r="F573" s="87">
        <v>12</v>
      </c>
      <c r="G573" s="88">
        <v>18</v>
      </c>
      <c r="H573" s="88">
        <v>1</v>
      </c>
      <c r="I573" s="88">
        <v>3</v>
      </c>
      <c r="J573" s="88">
        <v>2</v>
      </c>
      <c r="K573" s="88">
        <v>27</v>
      </c>
      <c r="L573" s="88">
        <v>21</v>
      </c>
      <c r="M573" s="88">
        <v>1</v>
      </c>
      <c r="N573" s="18" t="s">
        <v>32</v>
      </c>
    </row>
    <row r="574" spans="1:14" x14ac:dyDescent="0.25">
      <c r="A574" s="18">
        <f t="shared" si="48"/>
        <v>885</v>
      </c>
      <c r="B574" s="20" t="s">
        <v>657</v>
      </c>
      <c r="C574" s="92">
        <v>43643</v>
      </c>
      <c r="D574" s="87" t="str">
        <f t="shared" si="101"/>
        <v>J</v>
      </c>
      <c r="E574" s="19">
        <f t="shared" ref="E574:E579" si="103">WEEKNUM(C574,21)</f>
        <v>26</v>
      </c>
      <c r="F574" s="18">
        <v>17</v>
      </c>
      <c r="G574" s="18">
        <v>32</v>
      </c>
      <c r="H574" s="18">
        <v>27</v>
      </c>
      <c r="I574" s="18">
        <v>8</v>
      </c>
      <c r="J574" s="18">
        <v>49</v>
      </c>
      <c r="K574" s="18">
        <v>13</v>
      </c>
      <c r="L574" s="18">
        <v>38</v>
      </c>
      <c r="M574" s="18">
        <v>3</v>
      </c>
      <c r="N574" s="18" t="s">
        <v>32</v>
      </c>
    </row>
    <row r="575" spans="1:14" x14ac:dyDescent="0.25">
      <c r="A575" s="18">
        <f t="shared" si="48"/>
        <v>886</v>
      </c>
      <c r="B575" s="20" t="s">
        <v>658</v>
      </c>
      <c r="C575" s="92">
        <v>43645</v>
      </c>
      <c r="D575" s="87" t="str">
        <f t="shared" si="101"/>
        <v>S</v>
      </c>
      <c r="E575" s="19">
        <f t="shared" si="103"/>
        <v>26</v>
      </c>
      <c r="F575" s="18">
        <v>45</v>
      </c>
      <c r="G575" s="18">
        <v>23</v>
      </c>
      <c r="H575" s="18">
        <v>31</v>
      </c>
      <c r="I575" s="18">
        <v>14</v>
      </c>
      <c r="J575" s="18">
        <v>7</v>
      </c>
      <c r="K575" s="18">
        <v>27</v>
      </c>
      <c r="L575" s="18">
        <v>20</v>
      </c>
      <c r="M575" s="18">
        <v>6</v>
      </c>
      <c r="N575" s="18" t="s">
        <v>32</v>
      </c>
    </row>
    <row r="576" spans="1:14" x14ac:dyDescent="0.25">
      <c r="A576" s="18">
        <f t="shared" si="48"/>
        <v>887</v>
      </c>
      <c r="B576" s="20" t="s">
        <v>659</v>
      </c>
      <c r="C576" s="92">
        <v>43650</v>
      </c>
      <c r="D576" s="87" t="str">
        <f t="shared" si="101"/>
        <v>J</v>
      </c>
      <c r="E576" s="19">
        <f t="shared" si="103"/>
        <v>27</v>
      </c>
      <c r="F576" s="18">
        <v>2</v>
      </c>
      <c r="G576" s="18">
        <v>13</v>
      </c>
      <c r="H576" s="18">
        <v>34</v>
      </c>
      <c r="I576" s="18">
        <v>49</v>
      </c>
      <c r="J576" s="18">
        <v>19</v>
      </c>
      <c r="K576" s="18">
        <v>32</v>
      </c>
      <c r="L576" s="18">
        <v>23</v>
      </c>
      <c r="M576" s="18">
        <v>6</v>
      </c>
      <c r="N576" s="18" t="s">
        <v>32</v>
      </c>
    </row>
    <row r="577" spans="1:14" x14ac:dyDescent="0.25">
      <c r="A577" s="18">
        <f t="shared" si="48"/>
        <v>888</v>
      </c>
      <c r="B577" s="20" t="s">
        <v>660</v>
      </c>
      <c r="C577" s="92">
        <v>43652</v>
      </c>
      <c r="D577" s="87" t="str">
        <f t="shared" si="101"/>
        <v>S</v>
      </c>
      <c r="E577" s="19">
        <f t="shared" si="103"/>
        <v>27</v>
      </c>
      <c r="F577" s="18">
        <v>26</v>
      </c>
      <c r="G577" s="18">
        <v>22</v>
      </c>
      <c r="H577" s="18">
        <v>14</v>
      </c>
      <c r="I577" s="18">
        <v>48</v>
      </c>
      <c r="J577" s="18">
        <v>15</v>
      </c>
      <c r="K577" s="18">
        <v>9</v>
      </c>
      <c r="L577" s="18">
        <v>29</v>
      </c>
      <c r="M577" s="18">
        <v>9</v>
      </c>
      <c r="N577" s="18" t="s">
        <v>32</v>
      </c>
    </row>
    <row r="578" spans="1:14" x14ac:dyDescent="0.25">
      <c r="A578" s="18">
        <f t="shared" si="48"/>
        <v>889</v>
      </c>
      <c r="B578" s="20" t="s">
        <v>661</v>
      </c>
      <c r="C578" s="92">
        <v>43657</v>
      </c>
      <c r="D578" s="87" t="str">
        <f t="shared" si="101"/>
        <v>J</v>
      </c>
      <c r="E578" s="87">
        <f t="shared" si="103"/>
        <v>28</v>
      </c>
      <c r="F578" s="88">
        <v>13</v>
      </c>
      <c r="G578" s="88">
        <v>12</v>
      </c>
      <c r="H578" s="88">
        <v>39</v>
      </c>
      <c r="I578" s="88">
        <v>30</v>
      </c>
      <c r="J578" s="88">
        <v>46</v>
      </c>
      <c r="K578" s="88">
        <v>26</v>
      </c>
      <c r="L578" s="88">
        <v>32</v>
      </c>
      <c r="M578" s="88">
        <v>8</v>
      </c>
      <c r="N578" s="18" t="s">
        <v>32</v>
      </c>
    </row>
    <row r="579" spans="1:14" x14ac:dyDescent="0.25">
      <c r="A579" s="18">
        <f t="shared" si="48"/>
        <v>890</v>
      </c>
      <c r="B579" s="20" t="s">
        <v>662</v>
      </c>
      <c r="C579" s="92">
        <v>43659</v>
      </c>
      <c r="D579" s="87" t="str">
        <f t="shared" si="101"/>
        <v>S</v>
      </c>
      <c r="E579" s="87">
        <f t="shared" si="103"/>
        <v>28</v>
      </c>
      <c r="F579" s="18">
        <v>14</v>
      </c>
      <c r="G579" s="18">
        <v>31</v>
      </c>
      <c r="H579" s="18">
        <v>46</v>
      </c>
      <c r="I579" s="18">
        <v>7</v>
      </c>
      <c r="J579" s="18">
        <v>43</v>
      </c>
      <c r="K579" s="18">
        <v>29</v>
      </c>
      <c r="L579" s="18">
        <v>25</v>
      </c>
      <c r="M579" s="18">
        <v>6</v>
      </c>
      <c r="N579" s="18" t="s">
        <v>32</v>
      </c>
    </row>
    <row r="580" spans="1:14" x14ac:dyDescent="0.25">
      <c r="A580" s="18">
        <f t="shared" si="48"/>
        <v>891</v>
      </c>
      <c r="B580" s="20" t="s">
        <v>663</v>
      </c>
      <c r="C580" s="92">
        <v>43664</v>
      </c>
      <c r="D580" s="87" t="str">
        <f t="shared" ref="D580:D581" si="104">CHOOSE(WEEKDAY(C580),"D","L","M","X","J","V","S")</f>
        <v>J</v>
      </c>
      <c r="E580" s="19">
        <f t="shared" ref="E580:E585" si="105">WEEKNUM(C580,21)</f>
        <v>29</v>
      </c>
      <c r="F580" s="18">
        <v>45</v>
      </c>
      <c r="G580" s="18">
        <v>33</v>
      </c>
      <c r="H580" s="18">
        <v>23</v>
      </c>
      <c r="I580" s="18">
        <v>48</v>
      </c>
      <c r="J580" s="18">
        <v>18</v>
      </c>
      <c r="K580" s="18">
        <v>24</v>
      </c>
      <c r="L580" s="18">
        <v>21</v>
      </c>
      <c r="M580" s="18">
        <v>6</v>
      </c>
      <c r="N580" s="18" t="s">
        <v>32</v>
      </c>
    </row>
    <row r="581" spans="1:14" x14ac:dyDescent="0.25">
      <c r="A581" s="18">
        <f t="shared" si="48"/>
        <v>892</v>
      </c>
      <c r="B581" s="20" t="s">
        <v>664</v>
      </c>
      <c r="C581" s="92">
        <v>43666</v>
      </c>
      <c r="D581" s="87" t="str">
        <f t="shared" si="104"/>
        <v>S</v>
      </c>
      <c r="E581" s="19">
        <f t="shared" si="105"/>
        <v>29</v>
      </c>
      <c r="F581" s="18">
        <v>35</v>
      </c>
      <c r="G581" s="18">
        <v>22</v>
      </c>
      <c r="H581" s="18">
        <v>15</v>
      </c>
      <c r="I581" s="18">
        <v>21</v>
      </c>
      <c r="J581" s="18">
        <v>28</v>
      </c>
      <c r="K581" s="18">
        <v>26</v>
      </c>
      <c r="L581" s="18">
        <v>39</v>
      </c>
      <c r="M581" s="18">
        <v>6</v>
      </c>
      <c r="N581" s="18" t="s">
        <v>32</v>
      </c>
    </row>
    <row r="582" spans="1:14" x14ac:dyDescent="0.25">
      <c r="A582" s="18">
        <f t="shared" si="48"/>
        <v>893</v>
      </c>
      <c r="B582" s="20" t="s">
        <v>665</v>
      </c>
      <c r="C582" s="92">
        <v>43671</v>
      </c>
      <c r="D582" s="19" t="str">
        <f t="shared" ref="D582:D587" si="106">CHOOSE(WEEKDAY(C582),"D","L","M","X","J","V","S")</f>
        <v>J</v>
      </c>
      <c r="E582" s="19">
        <f t="shared" si="105"/>
        <v>30</v>
      </c>
      <c r="F582" s="18">
        <v>15</v>
      </c>
      <c r="G582" s="18">
        <v>37</v>
      </c>
      <c r="H582" s="18">
        <v>35</v>
      </c>
      <c r="I582" s="18">
        <v>7</v>
      </c>
      <c r="J582" s="18">
        <v>16</v>
      </c>
      <c r="K582" s="18">
        <v>38</v>
      </c>
      <c r="L582" s="18">
        <v>27</v>
      </c>
      <c r="M582" s="18">
        <v>6</v>
      </c>
      <c r="N582" s="18" t="s">
        <v>32</v>
      </c>
    </row>
    <row r="583" spans="1:14" x14ac:dyDescent="0.25">
      <c r="A583" s="18">
        <f t="shared" si="48"/>
        <v>894</v>
      </c>
      <c r="B583" s="20" t="s">
        <v>666</v>
      </c>
      <c r="C583" s="92">
        <v>43673</v>
      </c>
      <c r="D583" s="19" t="str">
        <f t="shared" si="106"/>
        <v>S</v>
      </c>
      <c r="E583" s="19">
        <f t="shared" si="105"/>
        <v>30</v>
      </c>
      <c r="F583" s="18">
        <v>19</v>
      </c>
      <c r="G583" s="18">
        <v>1</v>
      </c>
      <c r="H583" s="18">
        <v>38</v>
      </c>
      <c r="I583" s="18">
        <v>17</v>
      </c>
      <c r="J583" s="18">
        <v>9</v>
      </c>
      <c r="K583" s="18">
        <v>43</v>
      </c>
      <c r="L583" s="18">
        <v>31</v>
      </c>
      <c r="M583" s="18">
        <v>9</v>
      </c>
      <c r="N583" s="18" t="s">
        <v>32</v>
      </c>
    </row>
    <row r="584" spans="1:14" x14ac:dyDescent="0.25">
      <c r="A584" s="18">
        <f t="shared" si="48"/>
        <v>895</v>
      </c>
      <c r="B584" s="20" t="s">
        <v>667</v>
      </c>
      <c r="C584" s="92">
        <v>43678</v>
      </c>
      <c r="D584" s="19" t="str">
        <f t="shared" si="106"/>
        <v>J</v>
      </c>
      <c r="E584" s="19">
        <f t="shared" si="105"/>
        <v>31</v>
      </c>
      <c r="F584" s="18">
        <v>41</v>
      </c>
      <c r="G584" s="18">
        <v>11</v>
      </c>
      <c r="H584" s="18">
        <v>21</v>
      </c>
      <c r="I584" s="18">
        <v>6</v>
      </c>
      <c r="J584" s="18">
        <v>22</v>
      </c>
      <c r="K584" s="18">
        <v>28</v>
      </c>
      <c r="L584" s="18">
        <v>37</v>
      </c>
      <c r="M584" s="18">
        <v>8</v>
      </c>
      <c r="N584" s="18" t="s">
        <v>32</v>
      </c>
    </row>
    <row r="585" spans="1:14" x14ac:dyDescent="0.25">
      <c r="A585" s="18">
        <f t="shared" si="48"/>
        <v>896</v>
      </c>
      <c r="B585" s="20" t="s">
        <v>668</v>
      </c>
      <c r="C585" s="92">
        <v>43680</v>
      </c>
      <c r="D585" s="19" t="str">
        <f t="shared" si="106"/>
        <v>S</v>
      </c>
      <c r="E585" s="19">
        <f t="shared" si="105"/>
        <v>31</v>
      </c>
      <c r="F585" s="18">
        <v>27</v>
      </c>
      <c r="G585" s="18">
        <v>13</v>
      </c>
      <c r="H585" s="18">
        <v>29</v>
      </c>
      <c r="I585" s="18">
        <v>10</v>
      </c>
      <c r="J585" s="18">
        <v>45</v>
      </c>
      <c r="K585" s="18">
        <v>37</v>
      </c>
      <c r="L585" s="18">
        <v>40</v>
      </c>
      <c r="M585" s="18">
        <v>8</v>
      </c>
      <c r="N585" s="18" t="s">
        <v>32</v>
      </c>
    </row>
    <row r="586" spans="1:14" x14ac:dyDescent="0.25">
      <c r="A586" s="18">
        <f t="shared" si="48"/>
        <v>897</v>
      </c>
      <c r="B586" s="20" t="s">
        <v>669</v>
      </c>
      <c r="C586" s="92">
        <v>43685</v>
      </c>
      <c r="D586" s="19" t="str">
        <f t="shared" si="106"/>
        <v>J</v>
      </c>
      <c r="E586" s="19">
        <f t="shared" ref="E586:E591" si="107">WEEKNUM(C586,21)</f>
        <v>32</v>
      </c>
      <c r="F586" s="18">
        <v>31</v>
      </c>
      <c r="G586" s="18">
        <v>21</v>
      </c>
      <c r="H586" s="18">
        <v>47</v>
      </c>
      <c r="I586" s="18">
        <v>43</v>
      </c>
      <c r="J586" s="18">
        <v>9</v>
      </c>
      <c r="K586" s="18">
        <v>35</v>
      </c>
      <c r="L586" s="18">
        <v>17</v>
      </c>
      <c r="M586" s="18">
        <v>5</v>
      </c>
      <c r="N586" s="18" t="s">
        <v>32</v>
      </c>
    </row>
    <row r="587" spans="1:14" x14ac:dyDescent="0.25">
      <c r="A587" s="18">
        <f t="shared" si="48"/>
        <v>898</v>
      </c>
      <c r="B587" s="20" t="s">
        <v>670</v>
      </c>
      <c r="C587" s="92">
        <v>43687</v>
      </c>
      <c r="D587" s="19" t="str">
        <f t="shared" si="106"/>
        <v>S</v>
      </c>
      <c r="E587" s="19">
        <f t="shared" si="107"/>
        <v>32</v>
      </c>
      <c r="F587" s="18">
        <v>44</v>
      </c>
      <c r="G587" s="18">
        <v>9</v>
      </c>
      <c r="H587" s="18">
        <v>22</v>
      </c>
      <c r="I587" s="18">
        <v>37</v>
      </c>
      <c r="J587" s="18">
        <v>19</v>
      </c>
      <c r="K587" s="18">
        <v>29</v>
      </c>
      <c r="L587" s="18">
        <v>21</v>
      </c>
      <c r="M587" s="18">
        <v>2</v>
      </c>
      <c r="N587" s="18" t="s">
        <v>32</v>
      </c>
    </row>
    <row r="588" spans="1:14" x14ac:dyDescent="0.25">
      <c r="A588" s="18">
        <f t="shared" si="48"/>
        <v>899</v>
      </c>
      <c r="B588" s="20" t="s">
        <v>673</v>
      </c>
      <c r="C588" s="92">
        <v>43692</v>
      </c>
      <c r="D588" s="19" t="str">
        <f t="shared" ref="D588" si="108">CHOOSE(WEEKDAY(C588),"D","L","M","X","J","V","S")</f>
        <v>J</v>
      </c>
      <c r="E588" s="87">
        <f t="shared" si="107"/>
        <v>33</v>
      </c>
      <c r="F588" s="18">
        <v>5</v>
      </c>
      <c r="G588" s="18">
        <v>26</v>
      </c>
      <c r="H588" s="18">
        <v>49</v>
      </c>
      <c r="I588" s="18">
        <v>21</v>
      </c>
      <c r="J588" s="18">
        <v>10</v>
      </c>
      <c r="K588" s="18">
        <v>3</v>
      </c>
      <c r="L588" s="18">
        <v>2</v>
      </c>
      <c r="M588" s="18">
        <v>3</v>
      </c>
      <c r="N588" s="18" t="s">
        <v>32</v>
      </c>
    </row>
    <row r="589" spans="1:14" x14ac:dyDescent="0.25">
      <c r="A589" s="18">
        <f t="shared" si="48"/>
        <v>900</v>
      </c>
      <c r="B589" s="20" t="s">
        <v>673</v>
      </c>
      <c r="C589" s="92">
        <v>43694</v>
      </c>
      <c r="D589" s="19" t="str">
        <f t="shared" ref="D589" si="109">CHOOSE(WEEKDAY(C589),"D","L","M","X","J","V","S")</f>
        <v>S</v>
      </c>
      <c r="E589" s="87">
        <f t="shared" si="107"/>
        <v>33</v>
      </c>
      <c r="F589" s="18">
        <v>14</v>
      </c>
      <c r="G589" s="18">
        <v>25</v>
      </c>
      <c r="H589" s="18">
        <v>9</v>
      </c>
      <c r="I589" s="18">
        <v>28</v>
      </c>
      <c r="J589" s="18">
        <v>1</v>
      </c>
      <c r="K589" s="18">
        <v>29</v>
      </c>
      <c r="L589" s="88">
        <v>37</v>
      </c>
      <c r="M589" s="88">
        <v>0</v>
      </c>
      <c r="N589" s="18" t="s">
        <v>32</v>
      </c>
    </row>
    <row r="590" spans="1:14" x14ac:dyDescent="0.25">
      <c r="A590" s="18">
        <f t="shared" si="48"/>
        <v>901</v>
      </c>
      <c r="B590" s="20" t="s">
        <v>674</v>
      </c>
      <c r="C590" s="92">
        <v>43699</v>
      </c>
      <c r="D590" s="19" t="str">
        <f t="shared" ref="D590" si="110">CHOOSE(WEEKDAY(C590),"D","L","M","X","J","V","S")</f>
        <v>J</v>
      </c>
      <c r="E590" s="87">
        <f t="shared" si="107"/>
        <v>34</v>
      </c>
      <c r="F590" s="88">
        <v>39</v>
      </c>
      <c r="G590" s="88">
        <v>38</v>
      </c>
      <c r="H590" s="88">
        <v>21</v>
      </c>
      <c r="I590" s="88">
        <v>46</v>
      </c>
      <c r="J590" s="88">
        <v>24</v>
      </c>
      <c r="K590" s="88">
        <v>45</v>
      </c>
      <c r="L590" s="88">
        <v>29</v>
      </c>
      <c r="M590" s="88">
        <v>5</v>
      </c>
      <c r="N590" s="18" t="s">
        <v>32</v>
      </c>
    </row>
    <row r="591" spans="1:14" x14ac:dyDescent="0.25">
      <c r="A591" s="18">
        <f t="shared" si="48"/>
        <v>902</v>
      </c>
      <c r="B591" s="20" t="s">
        <v>675</v>
      </c>
      <c r="C591" s="92">
        <v>43701</v>
      </c>
      <c r="D591" s="19" t="str">
        <f t="shared" ref="D591" si="111">CHOOSE(WEEKDAY(C591),"D","L","M","X","J","V","S")</f>
        <v>S</v>
      </c>
      <c r="E591" s="19">
        <f t="shared" si="107"/>
        <v>34</v>
      </c>
      <c r="F591" s="18">
        <v>47</v>
      </c>
      <c r="G591" s="18">
        <v>36</v>
      </c>
      <c r="H591" s="18">
        <v>37</v>
      </c>
      <c r="I591" s="18">
        <v>27</v>
      </c>
      <c r="J591" s="18">
        <v>29</v>
      </c>
      <c r="K591" s="18">
        <v>3</v>
      </c>
      <c r="L591" s="18">
        <v>42</v>
      </c>
      <c r="M591" s="18">
        <v>7</v>
      </c>
      <c r="N591" s="18" t="s">
        <v>32</v>
      </c>
    </row>
    <row r="592" spans="1:14" x14ac:dyDescent="0.25">
      <c r="A592" s="18">
        <f t="shared" si="48"/>
        <v>903</v>
      </c>
      <c r="B592" s="20" t="s">
        <v>676</v>
      </c>
      <c r="C592" s="92">
        <v>43706</v>
      </c>
      <c r="D592" s="19" t="str">
        <f t="shared" ref="D592" si="112">CHOOSE(WEEKDAY(C592),"D","L","M","X","J","V","S")</f>
        <v>J</v>
      </c>
      <c r="E592" s="19">
        <f t="shared" ref="E592:E597" si="113">WEEKNUM(C592,21)</f>
        <v>35</v>
      </c>
      <c r="F592" s="18">
        <v>40</v>
      </c>
      <c r="G592" s="18">
        <v>43</v>
      </c>
      <c r="H592" s="18">
        <v>1</v>
      </c>
      <c r="I592" s="18">
        <v>2</v>
      </c>
      <c r="J592" s="18">
        <v>3</v>
      </c>
      <c r="K592" s="18">
        <v>28</v>
      </c>
      <c r="L592" s="18">
        <v>17</v>
      </c>
      <c r="M592" s="18">
        <v>6</v>
      </c>
      <c r="N592" s="18" t="s">
        <v>32</v>
      </c>
    </row>
    <row r="593" spans="1:14" x14ac:dyDescent="0.25">
      <c r="A593" s="18">
        <f t="shared" si="48"/>
        <v>904</v>
      </c>
      <c r="B593" s="20" t="s">
        <v>677</v>
      </c>
      <c r="C593" s="92">
        <v>43708</v>
      </c>
      <c r="D593" s="19" t="str">
        <f t="shared" ref="D593" si="114">CHOOSE(WEEKDAY(C593),"D","L","M","X","J","V","S")</f>
        <v>S</v>
      </c>
      <c r="E593" s="19">
        <f t="shared" si="113"/>
        <v>35</v>
      </c>
      <c r="F593" s="18">
        <v>8</v>
      </c>
      <c r="G593" s="18">
        <v>41</v>
      </c>
      <c r="H593" s="18">
        <v>11</v>
      </c>
      <c r="I593" s="18">
        <v>27</v>
      </c>
      <c r="J593" s="18">
        <v>12</v>
      </c>
      <c r="K593" s="18">
        <v>44</v>
      </c>
      <c r="L593" s="18">
        <v>49</v>
      </c>
      <c r="M593" s="18">
        <v>5</v>
      </c>
      <c r="N593" s="18" t="s">
        <v>32</v>
      </c>
    </row>
    <row r="594" spans="1:14" x14ac:dyDescent="0.25">
      <c r="A594" s="18">
        <f t="shared" si="48"/>
        <v>905</v>
      </c>
      <c r="B594" s="20" t="s">
        <v>678</v>
      </c>
      <c r="C594" s="92">
        <v>43713</v>
      </c>
      <c r="D594" s="19" t="str">
        <f t="shared" ref="D594" si="115">CHOOSE(WEEKDAY(C594),"D","L","M","X","J","V","S")</f>
        <v>J</v>
      </c>
      <c r="E594" s="19">
        <f t="shared" si="113"/>
        <v>36</v>
      </c>
      <c r="F594" s="18">
        <v>11</v>
      </c>
      <c r="G594" s="18">
        <v>19</v>
      </c>
      <c r="H594" s="18">
        <v>10</v>
      </c>
      <c r="I594" s="18">
        <v>31</v>
      </c>
      <c r="J594" s="18">
        <v>3</v>
      </c>
      <c r="K594" s="18">
        <v>13</v>
      </c>
      <c r="L594" s="18">
        <v>40</v>
      </c>
      <c r="M594" s="18">
        <v>5</v>
      </c>
      <c r="N594" s="18" t="s">
        <v>32</v>
      </c>
    </row>
    <row r="595" spans="1:14" x14ac:dyDescent="0.25">
      <c r="A595" s="18">
        <f t="shared" si="48"/>
        <v>906</v>
      </c>
      <c r="B595" s="20" t="s">
        <v>679</v>
      </c>
      <c r="C595" s="92">
        <v>43715</v>
      </c>
      <c r="D595" s="19" t="str">
        <f t="shared" ref="D595" si="116">CHOOSE(WEEKDAY(C595),"D","L","M","X","J","V","S")</f>
        <v>S</v>
      </c>
      <c r="E595" s="87">
        <f t="shared" si="113"/>
        <v>36</v>
      </c>
      <c r="F595" s="88">
        <v>49</v>
      </c>
      <c r="G595" s="88">
        <v>44</v>
      </c>
      <c r="H595" s="88">
        <v>39</v>
      </c>
      <c r="I595" s="88">
        <v>37</v>
      </c>
      <c r="J595" s="88">
        <v>25</v>
      </c>
      <c r="K595" s="88">
        <v>31</v>
      </c>
      <c r="L595" s="88">
        <v>10</v>
      </c>
      <c r="M595" s="88">
        <v>2</v>
      </c>
      <c r="N595" s="18" t="s">
        <v>32</v>
      </c>
    </row>
    <row r="596" spans="1:14" x14ac:dyDescent="0.25">
      <c r="A596" s="18">
        <f t="shared" si="48"/>
        <v>907</v>
      </c>
      <c r="B596" s="20" t="s">
        <v>680</v>
      </c>
      <c r="C596" s="92">
        <v>43720</v>
      </c>
      <c r="D596" s="19" t="str">
        <f t="shared" ref="D596" si="117">CHOOSE(WEEKDAY(C596),"D","L","M","X","J","V","S")</f>
        <v>J</v>
      </c>
      <c r="E596" s="19">
        <f t="shared" si="113"/>
        <v>37</v>
      </c>
      <c r="F596" s="18">
        <v>27</v>
      </c>
      <c r="G596" s="18">
        <v>34</v>
      </c>
      <c r="H596" s="18">
        <v>16</v>
      </c>
      <c r="I596" s="18">
        <v>37</v>
      </c>
      <c r="J596" s="18">
        <v>10</v>
      </c>
      <c r="K596" s="18">
        <v>3</v>
      </c>
      <c r="L596" s="18">
        <v>30</v>
      </c>
      <c r="M596" s="18">
        <v>5</v>
      </c>
      <c r="N596" s="18" t="s">
        <v>32</v>
      </c>
    </row>
    <row r="597" spans="1:14" x14ac:dyDescent="0.25">
      <c r="A597" s="18">
        <f t="shared" si="48"/>
        <v>908</v>
      </c>
      <c r="B597" s="20" t="s">
        <v>681</v>
      </c>
      <c r="C597" s="92">
        <v>43722</v>
      </c>
      <c r="D597" s="19" t="str">
        <f t="shared" ref="D597" si="118">CHOOSE(WEEKDAY(C597),"D","L","M","X","J","V","S")</f>
        <v>S</v>
      </c>
      <c r="E597" s="19">
        <f t="shared" si="113"/>
        <v>37</v>
      </c>
      <c r="F597" s="18">
        <v>16</v>
      </c>
      <c r="G597" s="18">
        <v>46</v>
      </c>
      <c r="H597" s="18">
        <v>34</v>
      </c>
      <c r="I597" s="18">
        <v>45</v>
      </c>
      <c r="J597" s="18">
        <v>36</v>
      </c>
      <c r="K597" s="18">
        <v>32</v>
      </c>
      <c r="L597" s="18">
        <v>21</v>
      </c>
      <c r="M597" s="18">
        <v>3</v>
      </c>
      <c r="N597" s="18" t="s">
        <v>32</v>
      </c>
    </row>
    <row r="598" spans="1:14" x14ac:dyDescent="0.25">
      <c r="A598" s="18">
        <f t="shared" si="48"/>
        <v>909</v>
      </c>
      <c r="B598" s="20" t="s">
        <v>682</v>
      </c>
      <c r="C598" s="92">
        <v>43727</v>
      </c>
      <c r="D598" s="19" t="str">
        <f t="shared" ref="D598" si="119">CHOOSE(WEEKDAY(C598),"D","L","M","X","J","V","S")</f>
        <v>J</v>
      </c>
      <c r="E598" s="19">
        <f t="shared" ref="E598:E603" si="120">WEEKNUM(C598,21)</f>
        <v>38</v>
      </c>
      <c r="F598" s="18">
        <v>10</v>
      </c>
      <c r="G598" s="18">
        <v>29</v>
      </c>
      <c r="H598" s="18">
        <v>20</v>
      </c>
      <c r="I598" s="18">
        <v>33</v>
      </c>
      <c r="J598" s="18">
        <v>30</v>
      </c>
      <c r="K598" s="18">
        <v>41</v>
      </c>
      <c r="L598" s="18">
        <v>24</v>
      </c>
      <c r="M598" s="18">
        <v>5</v>
      </c>
      <c r="N598" s="18" t="s">
        <v>32</v>
      </c>
    </row>
    <row r="599" spans="1:14" x14ac:dyDescent="0.25">
      <c r="A599" s="18">
        <f t="shared" si="48"/>
        <v>910</v>
      </c>
      <c r="B599" s="20" t="s">
        <v>683</v>
      </c>
      <c r="C599" s="92">
        <v>43729</v>
      </c>
      <c r="D599" s="19" t="str">
        <f t="shared" ref="D599" si="121">CHOOSE(WEEKDAY(C599),"D","L","M","X","J","V","S")</f>
        <v>S</v>
      </c>
      <c r="E599" s="87">
        <f t="shared" si="120"/>
        <v>38</v>
      </c>
      <c r="F599" s="88">
        <v>14</v>
      </c>
      <c r="G599" s="88">
        <v>36</v>
      </c>
      <c r="H599" s="88">
        <v>26</v>
      </c>
      <c r="I599" s="88">
        <v>22</v>
      </c>
      <c r="J599" s="88">
        <v>27</v>
      </c>
      <c r="K599" s="88">
        <v>10</v>
      </c>
      <c r="L599" s="88">
        <v>47</v>
      </c>
      <c r="M599" s="88">
        <v>6</v>
      </c>
      <c r="N599" s="18" t="s">
        <v>32</v>
      </c>
    </row>
    <row r="600" spans="1:14" x14ac:dyDescent="0.25">
      <c r="A600" s="18">
        <f t="shared" si="48"/>
        <v>911</v>
      </c>
      <c r="B600" s="20" t="s">
        <v>684</v>
      </c>
      <c r="C600" s="92">
        <v>43734</v>
      </c>
      <c r="D600" s="19" t="str">
        <f t="shared" ref="D600" si="122">CHOOSE(WEEKDAY(C600),"D","L","M","X","J","V","S")</f>
        <v>J</v>
      </c>
      <c r="E600" s="19">
        <f t="shared" si="120"/>
        <v>39</v>
      </c>
      <c r="F600" s="18">
        <v>10</v>
      </c>
      <c r="G600" s="18">
        <v>40</v>
      </c>
      <c r="H600" s="18">
        <v>16</v>
      </c>
      <c r="I600" s="18">
        <v>39</v>
      </c>
      <c r="J600" s="18">
        <v>28</v>
      </c>
      <c r="K600" s="18">
        <v>37</v>
      </c>
      <c r="L600" s="18">
        <v>1</v>
      </c>
      <c r="M600" s="18">
        <v>9</v>
      </c>
      <c r="N600" s="18" t="s">
        <v>32</v>
      </c>
    </row>
    <row r="601" spans="1:14" x14ac:dyDescent="0.25">
      <c r="A601" s="18">
        <f t="shared" si="48"/>
        <v>912</v>
      </c>
      <c r="B601" s="20" t="s">
        <v>685</v>
      </c>
      <c r="C601" s="92">
        <v>43736</v>
      </c>
      <c r="D601" s="19" t="str">
        <f t="shared" ref="D601" si="123">CHOOSE(WEEKDAY(C601),"D","L","M","X","J","V","S")</f>
        <v>S</v>
      </c>
      <c r="E601" s="87">
        <f t="shared" si="120"/>
        <v>39</v>
      </c>
      <c r="F601" s="88">
        <v>43</v>
      </c>
      <c r="G601" s="88">
        <v>22</v>
      </c>
      <c r="H601" s="88">
        <v>42</v>
      </c>
      <c r="I601" s="88">
        <v>15</v>
      </c>
      <c r="J601" s="88">
        <v>21</v>
      </c>
      <c r="K601" s="88">
        <v>10</v>
      </c>
      <c r="L601" s="88">
        <v>19</v>
      </c>
      <c r="M601" s="88">
        <v>5</v>
      </c>
      <c r="N601" s="18" t="s">
        <v>32</v>
      </c>
    </row>
    <row r="602" spans="1:14" x14ac:dyDescent="0.25">
      <c r="A602" s="18">
        <f t="shared" si="48"/>
        <v>913</v>
      </c>
      <c r="B602" s="20" t="s">
        <v>686</v>
      </c>
      <c r="C602" s="92">
        <v>43741</v>
      </c>
      <c r="D602" s="19" t="str">
        <f t="shared" ref="D602" si="124">CHOOSE(WEEKDAY(C602),"D","L","M","X","J","V","S")</f>
        <v>J</v>
      </c>
      <c r="E602" s="87">
        <f t="shared" si="120"/>
        <v>40</v>
      </c>
      <c r="F602" s="88">
        <v>19</v>
      </c>
      <c r="G602" s="88">
        <v>10</v>
      </c>
      <c r="H602" s="88">
        <v>42</v>
      </c>
      <c r="I602" s="88">
        <v>20</v>
      </c>
      <c r="J602" s="88">
        <v>25</v>
      </c>
      <c r="K602" s="88">
        <v>39</v>
      </c>
      <c r="L602" s="88">
        <v>46</v>
      </c>
      <c r="M602" s="88">
        <v>8</v>
      </c>
      <c r="N602" s="18" t="s">
        <v>32</v>
      </c>
    </row>
    <row r="603" spans="1:14" x14ac:dyDescent="0.25">
      <c r="A603" s="18">
        <f t="shared" si="48"/>
        <v>914</v>
      </c>
      <c r="B603" s="20" t="s">
        <v>687</v>
      </c>
      <c r="C603" s="92">
        <v>43743</v>
      </c>
      <c r="D603" s="19" t="str">
        <f t="shared" ref="D603:D604" si="125">CHOOSE(WEEKDAY(C603),"D","L","M","X","J","V","S")</f>
        <v>S</v>
      </c>
      <c r="E603" s="19">
        <f t="shared" si="120"/>
        <v>40</v>
      </c>
      <c r="F603" s="18">
        <v>7</v>
      </c>
      <c r="G603" s="18">
        <v>21</v>
      </c>
      <c r="H603" s="18">
        <v>30</v>
      </c>
      <c r="I603" s="18">
        <v>2</v>
      </c>
      <c r="J603" s="18">
        <v>24</v>
      </c>
      <c r="K603" s="18">
        <v>42</v>
      </c>
      <c r="L603" s="18">
        <v>32</v>
      </c>
      <c r="M603" s="18">
        <v>8</v>
      </c>
      <c r="N603" s="18" t="s">
        <v>32</v>
      </c>
    </row>
    <row r="604" spans="1:14" x14ac:dyDescent="0.25">
      <c r="A604" s="18">
        <f t="shared" si="48"/>
        <v>915</v>
      </c>
      <c r="B604" s="20" t="s">
        <v>688</v>
      </c>
      <c r="C604" s="92">
        <v>43748</v>
      </c>
      <c r="D604" s="19" t="str">
        <f t="shared" si="125"/>
        <v>J</v>
      </c>
      <c r="E604" s="87">
        <f t="shared" ref="E604" si="126">WEEKNUM(C604,21)</f>
        <v>41</v>
      </c>
      <c r="F604" s="18">
        <v>20</v>
      </c>
      <c r="G604" s="18">
        <v>11</v>
      </c>
      <c r="H604" s="18">
        <v>22</v>
      </c>
      <c r="I604" s="18">
        <v>43</v>
      </c>
      <c r="J604" s="18">
        <v>27</v>
      </c>
      <c r="K604" s="18">
        <v>26</v>
      </c>
      <c r="L604" s="18">
        <v>31</v>
      </c>
      <c r="M604" s="18">
        <v>5</v>
      </c>
      <c r="N604" s="18" t="s">
        <v>32</v>
      </c>
    </row>
    <row r="605" spans="1:14" x14ac:dyDescent="0.25">
      <c r="A605" s="18">
        <f t="shared" si="48"/>
        <v>916</v>
      </c>
      <c r="B605" s="20" t="s">
        <v>689</v>
      </c>
      <c r="C605" s="92">
        <v>43750</v>
      </c>
      <c r="D605" s="19" t="str">
        <f t="shared" ref="D605" si="127">CHOOSE(WEEKDAY(C605),"D","L","M","X","J","V","S")</f>
        <v>S</v>
      </c>
      <c r="E605" s="87">
        <f t="shared" ref="E605" si="128">WEEKNUM(C605,21)</f>
        <v>41</v>
      </c>
      <c r="F605" s="18">
        <v>8</v>
      </c>
      <c r="G605" s="18">
        <v>20</v>
      </c>
      <c r="H605" s="18">
        <v>47</v>
      </c>
      <c r="I605" s="18">
        <v>26</v>
      </c>
      <c r="J605" s="18">
        <v>48</v>
      </c>
      <c r="K605" s="18">
        <v>27</v>
      </c>
      <c r="L605" s="18">
        <v>34</v>
      </c>
      <c r="M605" s="18">
        <v>2</v>
      </c>
      <c r="N605" s="18" t="s">
        <v>32</v>
      </c>
    </row>
    <row r="606" spans="1:14" x14ac:dyDescent="0.25">
      <c r="A606" s="18">
        <f t="shared" si="48"/>
        <v>917</v>
      </c>
      <c r="B606" s="20" t="s">
        <v>690</v>
      </c>
      <c r="C606" s="92">
        <v>43755</v>
      </c>
      <c r="D606" s="19" t="str">
        <f t="shared" ref="D606" si="129">CHOOSE(WEEKDAY(C606),"D","L","M","X","J","V","S")</f>
        <v>J</v>
      </c>
      <c r="E606" s="87">
        <f t="shared" ref="E606:E611" si="130">WEEKNUM(C606,21)</f>
        <v>42</v>
      </c>
      <c r="F606" s="88">
        <v>28</v>
      </c>
      <c r="G606" s="88">
        <v>43</v>
      </c>
      <c r="H606" s="88">
        <v>2</v>
      </c>
      <c r="I606" s="88">
        <v>38</v>
      </c>
      <c r="J606" s="88">
        <v>36</v>
      </c>
      <c r="K606" s="88">
        <v>16</v>
      </c>
      <c r="L606" s="88">
        <v>7</v>
      </c>
      <c r="M606" s="88">
        <v>2</v>
      </c>
      <c r="N606" s="18" t="s">
        <v>32</v>
      </c>
    </row>
    <row r="607" spans="1:14" x14ac:dyDescent="0.25">
      <c r="A607" s="18">
        <f t="shared" si="48"/>
        <v>918</v>
      </c>
      <c r="B607" s="20" t="s">
        <v>691</v>
      </c>
      <c r="C607" s="92">
        <v>43757</v>
      </c>
      <c r="D607" s="19" t="str">
        <f t="shared" ref="D607" si="131">CHOOSE(WEEKDAY(C607),"D","L","M","X","J","V","S")</f>
        <v>S</v>
      </c>
      <c r="E607" s="87">
        <f t="shared" si="130"/>
        <v>42</v>
      </c>
      <c r="F607" s="88">
        <v>10</v>
      </c>
      <c r="G607" s="88">
        <v>3</v>
      </c>
      <c r="H607" s="88">
        <v>17</v>
      </c>
      <c r="I607" s="88">
        <v>39</v>
      </c>
      <c r="J607" s="88">
        <v>26</v>
      </c>
      <c r="K607" s="88">
        <v>49</v>
      </c>
      <c r="L607" s="88">
        <v>25</v>
      </c>
      <c r="M607" s="88">
        <v>8</v>
      </c>
      <c r="N607" s="18" t="s">
        <v>32</v>
      </c>
    </row>
    <row r="608" spans="1:14" x14ac:dyDescent="0.25">
      <c r="A608" s="18">
        <f t="shared" si="48"/>
        <v>919</v>
      </c>
      <c r="B608" s="20" t="s">
        <v>694</v>
      </c>
      <c r="C608" s="92">
        <v>43762</v>
      </c>
      <c r="D608" s="19" t="str">
        <f t="shared" ref="D608" si="132">CHOOSE(WEEKDAY(C608),"D","L","M","X","J","V","S")</f>
        <v>J</v>
      </c>
      <c r="E608" s="87">
        <f t="shared" si="130"/>
        <v>43</v>
      </c>
      <c r="F608" s="88">
        <v>5</v>
      </c>
      <c r="G608" s="88">
        <v>39</v>
      </c>
      <c r="H608" s="88">
        <v>19</v>
      </c>
      <c r="I608" s="88">
        <v>42</v>
      </c>
      <c r="J608" s="88">
        <v>13</v>
      </c>
      <c r="K608" s="88">
        <v>38</v>
      </c>
      <c r="L608" s="88">
        <v>45</v>
      </c>
      <c r="M608" s="88">
        <v>0</v>
      </c>
      <c r="N608" s="18" t="s">
        <v>32</v>
      </c>
    </row>
    <row r="609" spans="1:14" x14ac:dyDescent="0.25">
      <c r="A609" s="18">
        <f t="shared" si="48"/>
        <v>920</v>
      </c>
      <c r="B609" s="20" t="s">
        <v>695</v>
      </c>
      <c r="C609" s="92">
        <v>43764</v>
      </c>
      <c r="D609" s="19" t="str">
        <f t="shared" ref="D609" si="133">CHOOSE(WEEKDAY(C609),"D","L","M","X","J","V","S")</f>
        <v>S</v>
      </c>
      <c r="E609" s="87">
        <f t="shared" si="130"/>
        <v>43</v>
      </c>
      <c r="F609" s="18">
        <v>23</v>
      </c>
      <c r="G609" s="18">
        <v>6</v>
      </c>
      <c r="H609" s="18">
        <v>46</v>
      </c>
      <c r="I609" s="18">
        <v>2</v>
      </c>
      <c r="J609" s="18">
        <v>36</v>
      </c>
      <c r="K609" s="18">
        <v>37</v>
      </c>
      <c r="L609" s="18">
        <v>34</v>
      </c>
      <c r="M609" s="18">
        <v>5</v>
      </c>
      <c r="N609" s="18" t="s">
        <v>32</v>
      </c>
    </row>
    <row r="610" spans="1:14" x14ac:dyDescent="0.25">
      <c r="A610" s="18">
        <f t="shared" si="48"/>
        <v>921</v>
      </c>
      <c r="B610" s="20" t="s">
        <v>696</v>
      </c>
      <c r="C610" s="92">
        <v>43769</v>
      </c>
      <c r="D610" s="19" t="str">
        <f t="shared" ref="D610" si="134">CHOOSE(WEEKDAY(C610),"D","L","M","X","J","V","S")</f>
        <v>J</v>
      </c>
      <c r="E610" s="19">
        <f t="shared" si="130"/>
        <v>44</v>
      </c>
      <c r="F610" s="18">
        <v>42</v>
      </c>
      <c r="G610" s="18">
        <v>15</v>
      </c>
      <c r="H610" s="18">
        <v>44</v>
      </c>
      <c r="I610" s="18">
        <v>29</v>
      </c>
      <c r="J610" s="18">
        <v>5</v>
      </c>
      <c r="K610" s="18">
        <v>7</v>
      </c>
      <c r="L610" s="18">
        <v>40</v>
      </c>
      <c r="M610" s="18">
        <v>2</v>
      </c>
      <c r="N610" s="18" t="s">
        <v>32</v>
      </c>
    </row>
    <row r="611" spans="1:14" x14ac:dyDescent="0.25">
      <c r="A611" s="18">
        <f t="shared" si="48"/>
        <v>922</v>
      </c>
      <c r="B611" s="20" t="s">
        <v>697</v>
      </c>
      <c r="C611" s="92">
        <v>43771</v>
      </c>
      <c r="D611" s="19" t="str">
        <f t="shared" ref="D611" si="135">CHOOSE(WEEKDAY(C611),"D","L","M","X","J","V","S")</f>
        <v>S</v>
      </c>
      <c r="E611" s="19">
        <f t="shared" si="130"/>
        <v>44</v>
      </c>
      <c r="F611" s="18">
        <v>5</v>
      </c>
      <c r="G611" s="18">
        <v>47</v>
      </c>
      <c r="H611" s="18">
        <v>46</v>
      </c>
      <c r="I611" s="18">
        <v>18</v>
      </c>
      <c r="J611" s="18">
        <v>26</v>
      </c>
      <c r="K611" s="18">
        <v>28</v>
      </c>
      <c r="L611" s="18">
        <v>13</v>
      </c>
      <c r="M611" s="18">
        <v>9</v>
      </c>
      <c r="N611" s="18" t="s">
        <v>32</v>
      </c>
    </row>
    <row r="612" spans="1:14" x14ac:dyDescent="0.25">
      <c r="A612" s="18">
        <f t="shared" si="48"/>
        <v>923</v>
      </c>
      <c r="B612" s="20" t="s">
        <v>698</v>
      </c>
      <c r="C612" s="92">
        <v>43776</v>
      </c>
      <c r="D612" s="19" t="str">
        <f t="shared" ref="D612" si="136">CHOOSE(WEEKDAY(C612),"D","L","M","X","J","V","S")</f>
        <v>J</v>
      </c>
      <c r="E612" s="19">
        <f t="shared" ref="E612:E617" si="137">WEEKNUM(C612,21)</f>
        <v>45</v>
      </c>
      <c r="F612" s="18">
        <v>23</v>
      </c>
      <c r="G612" s="18">
        <v>26</v>
      </c>
      <c r="H612" s="18">
        <v>12</v>
      </c>
      <c r="I612" s="18">
        <v>46</v>
      </c>
      <c r="J612" s="18">
        <v>10</v>
      </c>
      <c r="K612" s="18">
        <v>41</v>
      </c>
      <c r="L612" s="18">
        <v>34</v>
      </c>
      <c r="M612" s="18">
        <v>4</v>
      </c>
      <c r="N612" s="18" t="s">
        <v>32</v>
      </c>
    </row>
    <row r="613" spans="1:14" x14ac:dyDescent="0.25">
      <c r="A613" s="18">
        <f t="shared" si="48"/>
        <v>924</v>
      </c>
      <c r="B613" s="20" t="s">
        <v>699</v>
      </c>
      <c r="C613" s="92">
        <v>43778</v>
      </c>
      <c r="D613" s="19" t="str">
        <f t="shared" ref="D613" si="138">CHOOSE(WEEKDAY(C613),"D","L","M","X","J","V","S")</f>
        <v>S</v>
      </c>
      <c r="E613" s="19">
        <f t="shared" si="137"/>
        <v>45</v>
      </c>
      <c r="F613" s="18">
        <v>42</v>
      </c>
      <c r="G613" s="18">
        <v>44</v>
      </c>
      <c r="H613" s="18">
        <v>45</v>
      </c>
      <c r="I613" s="18">
        <v>29</v>
      </c>
      <c r="J613" s="18">
        <v>1</v>
      </c>
      <c r="K613" s="18">
        <v>24</v>
      </c>
      <c r="L613" s="18">
        <v>38</v>
      </c>
      <c r="M613" s="18">
        <v>1</v>
      </c>
      <c r="N613" s="18" t="s">
        <v>32</v>
      </c>
    </row>
    <row r="614" spans="1:14" x14ac:dyDescent="0.25">
      <c r="A614" s="18">
        <f t="shared" si="48"/>
        <v>925</v>
      </c>
      <c r="B614" s="20" t="s">
        <v>700</v>
      </c>
      <c r="C614" s="92">
        <v>43783</v>
      </c>
      <c r="D614" s="19" t="str">
        <f t="shared" ref="D614" si="139">CHOOSE(WEEKDAY(C614),"D","L","M","X","J","V","S")</f>
        <v>J</v>
      </c>
      <c r="E614" s="19">
        <f t="shared" si="137"/>
        <v>46</v>
      </c>
      <c r="F614" s="18">
        <v>25</v>
      </c>
      <c r="G614" s="18">
        <v>2</v>
      </c>
      <c r="H614" s="18">
        <v>43</v>
      </c>
      <c r="I614" s="18">
        <v>16</v>
      </c>
      <c r="J614" s="18">
        <v>19</v>
      </c>
      <c r="K614" s="18">
        <v>37</v>
      </c>
      <c r="L614" s="18">
        <v>30</v>
      </c>
      <c r="M614" s="18">
        <v>7</v>
      </c>
      <c r="N614" s="18" t="s">
        <v>32</v>
      </c>
    </row>
    <row r="615" spans="1:14" x14ac:dyDescent="0.25">
      <c r="A615" s="18">
        <f t="shared" si="48"/>
        <v>926</v>
      </c>
      <c r="B615" s="20" t="s">
        <v>701</v>
      </c>
      <c r="C615" s="92">
        <v>43785</v>
      </c>
      <c r="D615" s="19" t="str">
        <f t="shared" ref="D615" si="140">CHOOSE(WEEKDAY(C615),"D","L","M","X","J","V","S")</f>
        <v>S</v>
      </c>
      <c r="E615" s="19">
        <f t="shared" si="137"/>
        <v>46</v>
      </c>
      <c r="F615" s="18">
        <v>26</v>
      </c>
      <c r="G615" s="18">
        <v>34</v>
      </c>
      <c r="H615" s="18">
        <v>44</v>
      </c>
      <c r="I615" s="18">
        <v>9</v>
      </c>
      <c r="J615" s="18">
        <v>33</v>
      </c>
      <c r="K615" s="18">
        <v>36</v>
      </c>
      <c r="L615" s="18">
        <v>28</v>
      </c>
      <c r="M615" s="18">
        <v>4</v>
      </c>
      <c r="N615" s="18" t="s">
        <v>32</v>
      </c>
    </row>
    <row r="616" spans="1:14" x14ac:dyDescent="0.25">
      <c r="A616" s="18">
        <f t="shared" si="48"/>
        <v>927</v>
      </c>
      <c r="B616" s="20" t="s">
        <v>702</v>
      </c>
      <c r="C616" s="92">
        <v>43790</v>
      </c>
      <c r="D616" s="19" t="str">
        <f t="shared" ref="D616" si="141">CHOOSE(WEEKDAY(C616),"D","L","M","X","J","V","S")</f>
        <v>J</v>
      </c>
      <c r="E616" s="19">
        <f t="shared" si="137"/>
        <v>47</v>
      </c>
      <c r="F616" s="18">
        <v>11</v>
      </c>
      <c r="G616" s="18">
        <v>37</v>
      </c>
      <c r="H616" s="18">
        <v>3</v>
      </c>
      <c r="I616" s="18">
        <v>34</v>
      </c>
      <c r="J616" s="18">
        <v>27</v>
      </c>
      <c r="K616" s="18">
        <v>5</v>
      </c>
      <c r="L616" s="18">
        <v>40</v>
      </c>
      <c r="M616" s="18">
        <v>6</v>
      </c>
      <c r="N616" s="18" t="s">
        <v>32</v>
      </c>
    </row>
    <row r="617" spans="1:14" x14ac:dyDescent="0.25">
      <c r="A617" s="18">
        <f t="shared" si="48"/>
        <v>928</v>
      </c>
      <c r="B617" s="20" t="s">
        <v>703</v>
      </c>
      <c r="C617" s="92">
        <v>43792</v>
      </c>
      <c r="D617" s="19" t="str">
        <f t="shared" ref="D617" si="142">CHOOSE(WEEKDAY(C617),"D","L","M","X","J","V","S")</f>
        <v>S</v>
      </c>
      <c r="E617" s="19">
        <f t="shared" si="137"/>
        <v>47</v>
      </c>
      <c r="F617" s="18">
        <v>8</v>
      </c>
      <c r="G617" s="18">
        <v>42</v>
      </c>
      <c r="H617" s="18">
        <v>17</v>
      </c>
      <c r="I617" s="18">
        <v>9</v>
      </c>
      <c r="J617" s="18">
        <v>7</v>
      </c>
      <c r="K617" s="18">
        <v>5</v>
      </c>
      <c r="L617" s="18">
        <v>3</v>
      </c>
      <c r="M617" s="18">
        <v>3</v>
      </c>
      <c r="N617" s="18" t="s">
        <v>32</v>
      </c>
    </row>
    <row r="618" spans="1:14" x14ac:dyDescent="0.25">
      <c r="A618" s="18">
        <f t="shared" si="48"/>
        <v>929</v>
      </c>
      <c r="B618" s="20" t="s">
        <v>704</v>
      </c>
      <c r="C618" s="92">
        <v>43797</v>
      </c>
      <c r="D618" s="19" t="str">
        <f t="shared" ref="D618" si="143">CHOOSE(WEEKDAY(C618),"D","L","M","X","J","V","S")</f>
        <v>J</v>
      </c>
      <c r="E618" s="87">
        <f t="shared" ref="E618:E623" si="144">WEEKNUM(C618,21)</f>
        <v>48</v>
      </c>
      <c r="F618" s="18">
        <v>43</v>
      </c>
      <c r="G618" s="18">
        <v>21</v>
      </c>
      <c r="H618" s="18">
        <v>41</v>
      </c>
      <c r="I618" s="18">
        <v>7</v>
      </c>
      <c r="J618" s="18">
        <v>11</v>
      </c>
      <c r="K618" s="18">
        <v>46</v>
      </c>
      <c r="L618" s="88">
        <v>16</v>
      </c>
      <c r="M618" s="18">
        <v>2</v>
      </c>
      <c r="N618" s="18" t="s">
        <v>32</v>
      </c>
    </row>
    <row r="619" spans="1:14" x14ac:dyDescent="0.25">
      <c r="A619" s="18">
        <f t="shared" si="48"/>
        <v>930</v>
      </c>
      <c r="B619" s="20" t="s">
        <v>705</v>
      </c>
      <c r="C619" s="92">
        <v>43799</v>
      </c>
      <c r="D619" s="19" t="str">
        <f t="shared" ref="D619" si="145">CHOOSE(WEEKDAY(C619),"D","L","M","X","J","V","S")</f>
        <v>S</v>
      </c>
      <c r="E619" s="87">
        <f t="shared" si="144"/>
        <v>48</v>
      </c>
      <c r="F619" s="18">
        <v>16</v>
      </c>
      <c r="G619" s="18">
        <v>41</v>
      </c>
      <c r="H619" s="18">
        <v>7</v>
      </c>
      <c r="I619" s="18">
        <v>4</v>
      </c>
      <c r="J619" s="18">
        <v>9</v>
      </c>
      <c r="K619" s="18">
        <v>2</v>
      </c>
      <c r="L619" s="18">
        <v>25</v>
      </c>
      <c r="M619" s="18">
        <v>3</v>
      </c>
      <c r="N619" s="18" t="s">
        <v>32</v>
      </c>
    </row>
    <row r="620" spans="1:14" x14ac:dyDescent="0.25">
      <c r="A620" s="18">
        <f t="shared" si="48"/>
        <v>931</v>
      </c>
      <c r="B620" s="20" t="s">
        <v>706</v>
      </c>
      <c r="C620" s="92">
        <v>43804</v>
      </c>
      <c r="D620" s="19" t="str">
        <f t="shared" ref="D620:D621" si="146">CHOOSE(WEEKDAY(C620),"D","L","M","X","J","V","S")</f>
        <v>J</v>
      </c>
      <c r="E620" s="19">
        <f t="shared" si="144"/>
        <v>49</v>
      </c>
      <c r="F620" s="18">
        <v>18</v>
      </c>
      <c r="G620" s="18">
        <v>17</v>
      </c>
      <c r="H620" s="18">
        <v>40</v>
      </c>
      <c r="I620" s="18">
        <v>1</v>
      </c>
      <c r="J620" s="18">
        <v>43</v>
      </c>
      <c r="K620" s="18">
        <v>41</v>
      </c>
      <c r="L620" s="18">
        <v>21</v>
      </c>
      <c r="M620" s="18">
        <v>7</v>
      </c>
      <c r="N620" s="18" t="s">
        <v>32</v>
      </c>
    </row>
    <row r="621" spans="1:14" x14ac:dyDescent="0.25">
      <c r="A621" s="18">
        <f t="shared" si="48"/>
        <v>932</v>
      </c>
      <c r="B621" s="20" t="s">
        <v>707</v>
      </c>
      <c r="C621" s="92">
        <v>43806</v>
      </c>
      <c r="D621" s="19" t="str">
        <f t="shared" si="146"/>
        <v>S</v>
      </c>
      <c r="E621" s="19">
        <f t="shared" si="144"/>
        <v>49</v>
      </c>
      <c r="F621" s="18">
        <v>2</v>
      </c>
      <c r="G621" s="18">
        <v>36</v>
      </c>
      <c r="H621" s="18">
        <v>42</v>
      </c>
      <c r="I621" s="18">
        <v>41</v>
      </c>
      <c r="J621" s="18">
        <v>13</v>
      </c>
      <c r="K621" s="18">
        <v>34</v>
      </c>
      <c r="L621" s="18">
        <v>28</v>
      </c>
      <c r="M621" s="18">
        <v>6</v>
      </c>
      <c r="N621" s="18" t="s">
        <v>32</v>
      </c>
    </row>
    <row r="622" spans="1:14" x14ac:dyDescent="0.25">
      <c r="A622" s="18">
        <f t="shared" si="48"/>
        <v>933</v>
      </c>
      <c r="B622" s="20" t="s">
        <v>708</v>
      </c>
      <c r="C622" s="128">
        <v>43811</v>
      </c>
      <c r="D622" s="87" t="str">
        <f t="shared" ref="D622:D627" si="147">CHOOSE(WEEKDAY(C622),"D","L","M","X","J","V","S")</f>
        <v>J</v>
      </c>
      <c r="E622" s="87">
        <f t="shared" si="144"/>
        <v>50</v>
      </c>
      <c r="F622" s="18">
        <v>32</v>
      </c>
      <c r="G622" s="18">
        <v>31</v>
      </c>
      <c r="H622" s="18">
        <v>13</v>
      </c>
      <c r="I622" s="18">
        <v>40</v>
      </c>
      <c r="J622" s="18">
        <v>33</v>
      </c>
      <c r="K622" s="18">
        <v>2</v>
      </c>
      <c r="L622" s="18">
        <v>5</v>
      </c>
      <c r="M622" s="18">
        <v>9</v>
      </c>
      <c r="N622" s="18" t="s">
        <v>32</v>
      </c>
    </row>
    <row r="623" spans="1:14" x14ac:dyDescent="0.25">
      <c r="A623" s="18">
        <f t="shared" si="48"/>
        <v>934</v>
      </c>
      <c r="B623" s="20" t="s">
        <v>709</v>
      </c>
      <c r="C623" s="128">
        <v>43813</v>
      </c>
      <c r="D623" s="87" t="str">
        <f t="shared" si="147"/>
        <v>S</v>
      </c>
      <c r="E623" s="19">
        <f t="shared" si="144"/>
        <v>50</v>
      </c>
      <c r="F623" s="18">
        <v>6</v>
      </c>
      <c r="G623" s="18">
        <v>30</v>
      </c>
      <c r="H623" s="18">
        <v>16</v>
      </c>
      <c r="I623" s="18">
        <v>41</v>
      </c>
      <c r="J623" s="18">
        <v>32</v>
      </c>
      <c r="K623" s="18">
        <v>18</v>
      </c>
      <c r="L623" s="18">
        <v>19</v>
      </c>
      <c r="M623" s="18">
        <v>4</v>
      </c>
      <c r="N623" s="18" t="s">
        <v>32</v>
      </c>
    </row>
    <row r="624" spans="1:14" x14ac:dyDescent="0.25">
      <c r="A624" s="18">
        <f t="shared" si="48"/>
        <v>935</v>
      </c>
      <c r="B624" s="20" t="s">
        <v>712</v>
      </c>
      <c r="C624" s="128">
        <v>43818</v>
      </c>
      <c r="D624" s="87" t="str">
        <f t="shared" si="147"/>
        <v>J</v>
      </c>
      <c r="E624" s="19">
        <f t="shared" ref="E624:E629" si="148">WEEKNUM(C624,21)</f>
        <v>51</v>
      </c>
      <c r="F624" s="18">
        <v>48</v>
      </c>
      <c r="G624" s="18">
        <v>37</v>
      </c>
      <c r="H624" s="18">
        <v>31</v>
      </c>
      <c r="I624" s="18">
        <v>19</v>
      </c>
      <c r="J624" s="18">
        <v>40</v>
      </c>
      <c r="K624" s="18">
        <v>32</v>
      </c>
      <c r="L624" s="18">
        <v>36</v>
      </c>
      <c r="M624" s="18">
        <v>1</v>
      </c>
      <c r="N624" s="18" t="s">
        <v>32</v>
      </c>
    </row>
    <row r="625" spans="1:14" x14ac:dyDescent="0.25">
      <c r="A625" s="18">
        <f t="shared" si="48"/>
        <v>936</v>
      </c>
      <c r="B625" s="20" t="s">
        <v>713</v>
      </c>
      <c r="C625" s="128">
        <v>43820</v>
      </c>
      <c r="D625" s="87" t="str">
        <f t="shared" si="147"/>
        <v>S</v>
      </c>
      <c r="E625" s="19">
        <f t="shared" si="148"/>
        <v>51</v>
      </c>
      <c r="F625" s="18">
        <v>38</v>
      </c>
      <c r="G625" s="18">
        <v>42</v>
      </c>
      <c r="H625" s="18">
        <v>37</v>
      </c>
      <c r="I625" s="18">
        <v>11</v>
      </c>
      <c r="J625" s="18">
        <v>8</v>
      </c>
      <c r="K625" s="18">
        <v>45</v>
      </c>
      <c r="L625" s="18">
        <v>17</v>
      </c>
      <c r="M625" s="18">
        <v>2</v>
      </c>
      <c r="N625" s="18" t="s">
        <v>32</v>
      </c>
    </row>
    <row r="626" spans="1:14" x14ac:dyDescent="0.25">
      <c r="A626" s="18">
        <f t="shared" si="48"/>
        <v>937</v>
      </c>
      <c r="B626" s="20" t="s">
        <v>714</v>
      </c>
      <c r="C626" s="128">
        <v>43825</v>
      </c>
      <c r="D626" s="87" t="str">
        <f t="shared" si="147"/>
        <v>J</v>
      </c>
      <c r="E626" s="19">
        <f t="shared" si="148"/>
        <v>52</v>
      </c>
      <c r="F626" s="18">
        <v>46</v>
      </c>
      <c r="G626" s="18">
        <v>13</v>
      </c>
      <c r="H626" s="18">
        <v>35</v>
      </c>
      <c r="I626" s="18">
        <v>45</v>
      </c>
      <c r="J626" s="18">
        <v>47</v>
      </c>
      <c r="K626" s="18">
        <v>43</v>
      </c>
      <c r="L626" s="18">
        <v>2</v>
      </c>
      <c r="M626" s="18">
        <v>6</v>
      </c>
      <c r="N626" s="18" t="s">
        <v>32</v>
      </c>
    </row>
    <row r="627" spans="1:14" x14ac:dyDescent="0.25">
      <c r="A627" s="18">
        <f t="shared" si="48"/>
        <v>938</v>
      </c>
      <c r="B627" s="20" t="s">
        <v>715</v>
      </c>
      <c r="C627" s="128">
        <v>43827</v>
      </c>
      <c r="D627" s="87" t="str">
        <f t="shared" si="147"/>
        <v>S</v>
      </c>
      <c r="E627" s="19">
        <f t="shared" si="148"/>
        <v>52</v>
      </c>
      <c r="F627" s="18">
        <v>48</v>
      </c>
      <c r="G627" s="18">
        <v>27</v>
      </c>
      <c r="H627" s="18">
        <v>5</v>
      </c>
      <c r="I627" s="18">
        <v>7</v>
      </c>
      <c r="J627" s="18">
        <v>42</v>
      </c>
      <c r="K627" s="18">
        <v>39</v>
      </c>
      <c r="L627" s="18">
        <v>14</v>
      </c>
      <c r="M627" s="18">
        <v>1</v>
      </c>
      <c r="N627" s="18" t="s">
        <v>32</v>
      </c>
    </row>
    <row r="628" spans="1:14" x14ac:dyDescent="0.25">
      <c r="A628" s="18">
        <f t="shared" si="48"/>
        <v>939</v>
      </c>
      <c r="B628" s="20" t="s">
        <v>716</v>
      </c>
      <c r="C628" s="128">
        <v>43832</v>
      </c>
      <c r="D628" s="87" t="str">
        <f t="shared" ref="D628" si="149">CHOOSE(WEEKDAY(C628),"D","L","M","X","J","V","S")</f>
        <v>J</v>
      </c>
      <c r="E628" s="19">
        <f t="shared" si="148"/>
        <v>1</v>
      </c>
      <c r="F628" s="18">
        <v>25</v>
      </c>
      <c r="G628" s="18">
        <v>32</v>
      </c>
      <c r="H628" s="18">
        <v>44</v>
      </c>
      <c r="I628" s="18">
        <v>11</v>
      </c>
      <c r="J628" s="18">
        <v>46</v>
      </c>
      <c r="K628" s="18">
        <v>40</v>
      </c>
      <c r="L628" s="18">
        <v>12</v>
      </c>
      <c r="M628" s="18">
        <v>2</v>
      </c>
      <c r="N628" s="18" t="s">
        <v>32</v>
      </c>
    </row>
    <row r="629" spans="1:14" x14ac:dyDescent="0.25">
      <c r="A629" s="18">
        <f t="shared" si="48"/>
        <v>940</v>
      </c>
      <c r="B629" s="20" t="s">
        <v>718</v>
      </c>
      <c r="C629" s="128">
        <v>43834</v>
      </c>
      <c r="D629" s="87" t="str">
        <f t="shared" ref="D629" si="150">CHOOSE(WEEKDAY(C629),"D","L","M","X","J","V","S")</f>
        <v>S</v>
      </c>
      <c r="E629" s="19">
        <f t="shared" si="148"/>
        <v>1</v>
      </c>
      <c r="F629" s="88">
        <v>22</v>
      </c>
      <c r="G629" s="88">
        <v>44</v>
      </c>
      <c r="H629" s="88">
        <v>2</v>
      </c>
      <c r="I629" s="88">
        <v>27</v>
      </c>
      <c r="J629" s="88">
        <v>30</v>
      </c>
      <c r="K629" s="88">
        <v>1</v>
      </c>
      <c r="L629" s="88">
        <v>36</v>
      </c>
      <c r="M629" s="88">
        <v>5</v>
      </c>
      <c r="N629" s="18" t="s">
        <v>32</v>
      </c>
    </row>
    <row r="630" spans="1:14" x14ac:dyDescent="0.25">
      <c r="A630" s="18">
        <f t="shared" si="48"/>
        <v>941</v>
      </c>
      <c r="B630" s="20" t="s">
        <v>721</v>
      </c>
      <c r="C630" s="128">
        <v>43839</v>
      </c>
      <c r="D630" s="87" t="str">
        <f t="shared" ref="D630" si="151">CHOOSE(WEEKDAY(C630),"D","L","M","X","J","V","S")</f>
        <v>J</v>
      </c>
      <c r="E630" s="19">
        <f t="shared" ref="E630" si="152">WEEKNUM(C630,21)</f>
        <v>2</v>
      </c>
      <c r="F630" s="18">
        <v>3</v>
      </c>
      <c r="G630" s="18">
        <v>48</v>
      </c>
      <c r="H630" s="18">
        <v>36</v>
      </c>
      <c r="I630" s="18">
        <v>19</v>
      </c>
      <c r="J630" s="18">
        <v>44</v>
      </c>
      <c r="K630" s="18">
        <v>34</v>
      </c>
      <c r="L630" s="18">
        <v>4</v>
      </c>
      <c r="M630" s="18">
        <v>3</v>
      </c>
      <c r="N630" s="18" t="s">
        <v>32</v>
      </c>
    </row>
    <row r="631" spans="1:14" x14ac:dyDescent="0.25">
      <c r="A631" s="18">
        <f t="shared" si="48"/>
        <v>942</v>
      </c>
      <c r="B631" s="20" t="s">
        <v>722</v>
      </c>
      <c r="C631" s="128">
        <v>43841</v>
      </c>
      <c r="D631" s="87" t="str">
        <f t="shared" ref="D631" si="153">CHOOSE(WEEKDAY(C631),"D","L","M","X","J","V","S")</f>
        <v>S</v>
      </c>
      <c r="E631" s="19">
        <f t="shared" ref="E631" si="154">WEEKNUM(C631,21)</f>
        <v>2</v>
      </c>
      <c r="F631" s="88">
        <v>24</v>
      </c>
      <c r="G631" s="88">
        <v>13</v>
      </c>
      <c r="H631" s="88">
        <v>14</v>
      </c>
      <c r="I631" s="88">
        <v>41</v>
      </c>
      <c r="J631" s="88">
        <v>23</v>
      </c>
      <c r="K631" s="88">
        <v>15</v>
      </c>
      <c r="L631" s="88">
        <v>39</v>
      </c>
      <c r="M631" s="88">
        <v>7</v>
      </c>
      <c r="N631" s="18" t="s">
        <v>32</v>
      </c>
    </row>
    <row r="632" spans="1:14" x14ac:dyDescent="0.25">
      <c r="A632" s="18">
        <f t="shared" si="48"/>
        <v>943</v>
      </c>
      <c r="B632" s="20" t="s">
        <v>723</v>
      </c>
      <c r="C632" s="128">
        <v>43846</v>
      </c>
      <c r="D632" s="87" t="str">
        <f t="shared" ref="D632" si="155">CHOOSE(WEEKDAY(C632),"D","L","M","X","J","V","S")</f>
        <v>J</v>
      </c>
      <c r="E632" s="19">
        <f t="shared" ref="E632:E637" si="156">WEEKNUM(C632,21)</f>
        <v>3</v>
      </c>
      <c r="F632" s="18">
        <v>18</v>
      </c>
      <c r="G632" s="18">
        <v>17</v>
      </c>
      <c r="H632" s="18">
        <v>46</v>
      </c>
      <c r="I632" s="18">
        <v>1</v>
      </c>
      <c r="J632" s="18">
        <v>30</v>
      </c>
      <c r="K632" s="18">
        <v>12</v>
      </c>
      <c r="L632" s="18">
        <v>11</v>
      </c>
      <c r="M632" s="18">
        <v>2</v>
      </c>
      <c r="N632" s="18" t="s">
        <v>32</v>
      </c>
    </row>
    <row r="633" spans="1:14" x14ac:dyDescent="0.25">
      <c r="A633" s="18">
        <f t="shared" si="48"/>
        <v>944</v>
      </c>
      <c r="B633" s="20" t="s">
        <v>724</v>
      </c>
      <c r="C633" s="128">
        <v>43848</v>
      </c>
      <c r="D633" s="87" t="str">
        <f t="shared" ref="D633" si="157">CHOOSE(WEEKDAY(C633),"D","L","M","X","J","V","S")</f>
        <v>S</v>
      </c>
      <c r="E633" s="19">
        <f t="shared" si="156"/>
        <v>3</v>
      </c>
      <c r="F633" s="18">
        <v>12</v>
      </c>
      <c r="G633" s="18">
        <v>7</v>
      </c>
      <c r="H633" s="18">
        <v>37</v>
      </c>
      <c r="I633" s="18">
        <v>17</v>
      </c>
      <c r="J633" s="18">
        <v>33</v>
      </c>
      <c r="K633" s="18">
        <v>23</v>
      </c>
      <c r="L633" s="18">
        <v>44</v>
      </c>
      <c r="M633" s="18">
        <v>6</v>
      </c>
      <c r="N633" s="18" t="s">
        <v>32</v>
      </c>
    </row>
    <row r="634" spans="1:14" x14ac:dyDescent="0.25">
      <c r="A634" s="18">
        <f t="shared" si="48"/>
        <v>945</v>
      </c>
      <c r="B634" s="20" t="s">
        <v>725</v>
      </c>
      <c r="C634" s="128">
        <v>43853</v>
      </c>
      <c r="D634" s="87" t="str">
        <f t="shared" ref="D634" si="158">CHOOSE(WEEKDAY(C634),"D","L","M","X","J","V","S")</f>
        <v>J</v>
      </c>
      <c r="E634" s="19">
        <f t="shared" si="156"/>
        <v>4</v>
      </c>
      <c r="F634" s="18">
        <v>18</v>
      </c>
      <c r="G634" s="18">
        <v>40</v>
      </c>
      <c r="H634" s="18">
        <v>38</v>
      </c>
      <c r="I634" s="18">
        <v>2</v>
      </c>
      <c r="J634" s="18">
        <v>19</v>
      </c>
      <c r="K634" s="18">
        <v>17</v>
      </c>
      <c r="L634" s="18">
        <v>9</v>
      </c>
      <c r="M634" s="18">
        <v>1</v>
      </c>
      <c r="N634" s="18" t="s">
        <v>32</v>
      </c>
    </row>
    <row r="635" spans="1:14" x14ac:dyDescent="0.25">
      <c r="A635" s="18">
        <f t="shared" si="48"/>
        <v>946</v>
      </c>
      <c r="B635" s="20" t="s">
        <v>726</v>
      </c>
      <c r="C635" s="128">
        <v>43855</v>
      </c>
      <c r="D635" s="87" t="str">
        <f t="shared" ref="D635" si="159">CHOOSE(WEEKDAY(C635),"D","L","M","X","J","V","S")</f>
        <v>S</v>
      </c>
      <c r="E635" s="19">
        <f t="shared" si="156"/>
        <v>4</v>
      </c>
      <c r="F635" s="18">
        <v>20</v>
      </c>
      <c r="G635" s="18">
        <v>44</v>
      </c>
      <c r="H635" s="18">
        <v>28</v>
      </c>
      <c r="I635" s="18">
        <v>3</v>
      </c>
      <c r="J635" s="18">
        <v>27</v>
      </c>
      <c r="K635" s="18">
        <v>46</v>
      </c>
      <c r="L635" s="18">
        <v>14</v>
      </c>
      <c r="M635" s="18">
        <v>7</v>
      </c>
      <c r="N635" s="18" t="s">
        <v>32</v>
      </c>
    </row>
    <row r="636" spans="1:14" x14ac:dyDescent="0.25">
      <c r="A636" s="18">
        <f t="shared" si="48"/>
        <v>947</v>
      </c>
      <c r="B636" s="20" t="s">
        <v>727</v>
      </c>
      <c r="C636" s="128">
        <v>43860</v>
      </c>
      <c r="D636" s="87" t="str">
        <f t="shared" ref="D636" si="160">CHOOSE(WEEKDAY(C636),"D","L","M","X","J","V","S")</f>
        <v>J</v>
      </c>
      <c r="E636" s="87">
        <f t="shared" si="156"/>
        <v>5</v>
      </c>
      <c r="F636" s="88">
        <v>29</v>
      </c>
      <c r="G636" s="88">
        <v>19</v>
      </c>
      <c r="H636" s="88">
        <v>25</v>
      </c>
      <c r="I636" s="88">
        <v>42</v>
      </c>
      <c r="J636" s="88">
        <v>28</v>
      </c>
      <c r="K636" s="88">
        <v>34</v>
      </c>
      <c r="L636" s="88">
        <v>33</v>
      </c>
      <c r="M636" s="88">
        <v>9</v>
      </c>
      <c r="N636" s="18" t="s">
        <v>32</v>
      </c>
    </row>
    <row r="637" spans="1:14" x14ac:dyDescent="0.25">
      <c r="A637" s="18">
        <f t="shared" si="48"/>
        <v>948</v>
      </c>
      <c r="B637" s="20" t="s">
        <v>728</v>
      </c>
      <c r="C637" s="128">
        <v>43862</v>
      </c>
      <c r="D637" s="87" t="str">
        <f t="shared" ref="D637" si="161">CHOOSE(WEEKDAY(C637),"D","L","M","X","J","V","S")</f>
        <v>S</v>
      </c>
      <c r="E637" s="19">
        <f t="shared" si="156"/>
        <v>5</v>
      </c>
      <c r="F637" s="18">
        <v>41</v>
      </c>
      <c r="G637" s="18">
        <v>36</v>
      </c>
      <c r="H637" s="18">
        <v>13</v>
      </c>
      <c r="I637" s="18">
        <v>39</v>
      </c>
      <c r="J637" s="18">
        <v>15</v>
      </c>
      <c r="K637" s="18">
        <v>40</v>
      </c>
      <c r="L637" s="18">
        <v>33</v>
      </c>
      <c r="M637" s="18">
        <v>1</v>
      </c>
      <c r="N637" s="18" t="s">
        <v>32</v>
      </c>
    </row>
    <row r="638" spans="1:14" x14ac:dyDescent="0.25">
      <c r="A638" s="18">
        <f t="shared" si="48"/>
        <v>949</v>
      </c>
      <c r="B638" s="20" t="s">
        <v>729</v>
      </c>
      <c r="C638" s="128">
        <v>43867</v>
      </c>
      <c r="D638" s="87" t="str">
        <f t="shared" ref="D638" si="162">CHOOSE(WEEKDAY(C638),"D","L","M","X","J","V","S")</f>
        <v>J</v>
      </c>
      <c r="E638" s="19">
        <f t="shared" ref="E638" si="163">WEEKNUM(C638,21)</f>
        <v>6</v>
      </c>
      <c r="F638" s="203">
        <v>28</v>
      </c>
      <c r="G638" s="203">
        <v>16</v>
      </c>
      <c r="H638" s="203">
        <v>14</v>
      </c>
      <c r="I638" s="203">
        <v>45</v>
      </c>
      <c r="J638" s="203">
        <v>47</v>
      </c>
      <c r="K638" s="203">
        <v>33</v>
      </c>
      <c r="L638" s="203">
        <v>18</v>
      </c>
      <c r="M638" s="203">
        <v>3</v>
      </c>
      <c r="N638" s="18" t="s">
        <v>32</v>
      </c>
    </row>
    <row r="639" spans="1:14" x14ac:dyDescent="0.25">
      <c r="A639" s="18">
        <f t="shared" si="48"/>
        <v>950</v>
      </c>
      <c r="B639" s="20" t="s">
        <v>730</v>
      </c>
      <c r="C639" s="128">
        <v>43869</v>
      </c>
      <c r="D639" s="87" t="str">
        <f t="shared" ref="D639" si="164">CHOOSE(WEEKDAY(C639),"D","L","M","X","J","V","S")</f>
        <v>S</v>
      </c>
      <c r="E639" s="19">
        <f t="shared" ref="E639:E644" si="165">WEEKNUM(C639,21)</f>
        <v>6</v>
      </c>
      <c r="F639" s="18">
        <v>49</v>
      </c>
      <c r="G639" s="18">
        <v>25</v>
      </c>
      <c r="H639" s="18">
        <v>4</v>
      </c>
      <c r="I639" s="18">
        <v>20</v>
      </c>
      <c r="J639" s="18">
        <v>46</v>
      </c>
      <c r="K639" s="18">
        <v>28</v>
      </c>
      <c r="L639" s="18">
        <v>16</v>
      </c>
      <c r="M639" s="18">
        <v>2</v>
      </c>
      <c r="N639" s="18" t="s">
        <v>32</v>
      </c>
    </row>
    <row r="640" spans="1:14" x14ac:dyDescent="0.25">
      <c r="A640" s="18">
        <f t="shared" si="48"/>
        <v>951</v>
      </c>
      <c r="B640" s="20" t="s">
        <v>732</v>
      </c>
      <c r="C640" s="128">
        <v>43874</v>
      </c>
      <c r="D640" s="87" t="str">
        <f t="shared" ref="D640:D641" si="166">CHOOSE(WEEKDAY(C640),"D","L","M","X","J","V","S")</f>
        <v>J</v>
      </c>
      <c r="E640" s="19">
        <f t="shared" si="165"/>
        <v>7</v>
      </c>
      <c r="F640" s="88">
        <v>45</v>
      </c>
      <c r="G640" s="88">
        <v>40</v>
      </c>
      <c r="H640" s="88">
        <v>4</v>
      </c>
      <c r="I640" s="88">
        <v>36</v>
      </c>
      <c r="J640" s="88">
        <v>20</v>
      </c>
      <c r="K640" s="88">
        <v>12</v>
      </c>
      <c r="L640" s="88">
        <v>18</v>
      </c>
      <c r="M640" s="88">
        <v>0</v>
      </c>
      <c r="N640" s="18" t="s">
        <v>32</v>
      </c>
    </row>
    <row r="641" spans="1:14" x14ac:dyDescent="0.25">
      <c r="A641" s="18">
        <f t="shared" si="48"/>
        <v>952</v>
      </c>
      <c r="B641" s="20" t="s">
        <v>734</v>
      </c>
      <c r="C641" s="128">
        <v>43876</v>
      </c>
      <c r="D641" s="87" t="str">
        <f t="shared" si="166"/>
        <v>S</v>
      </c>
      <c r="E641" s="19">
        <f t="shared" si="165"/>
        <v>7</v>
      </c>
      <c r="F641" s="18">
        <v>9</v>
      </c>
      <c r="G641" s="18">
        <v>7</v>
      </c>
      <c r="H641" s="18">
        <v>30</v>
      </c>
      <c r="I641" s="18">
        <v>44</v>
      </c>
      <c r="J641" s="18">
        <v>45</v>
      </c>
      <c r="K641" s="18">
        <v>3</v>
      </c>
      <c r="L641" s="18">
        <v>31</v>
      </c>
      <c r="M641" s="18">
        <v>9</v>
      </c>
      <c r="N641" s="18" t="s">
        <v>32</v>
      </c>
    </row>
    <row r="642" spans="1:14" x14ac:dyDescent="0.25">
      <c r="A642" s="18">
        <f t="shared" si="48"/>
        <v>953</v>
      </c>
      <c r="B642" s="20" t="s">
        <v>735</v>
      </c>
      <c r="C642" s="128">
        <v>43881</v>
      </c>
      <c r="D642" s="87" t="str">
        <f t="shared" ref="D642" si="167">CHOOSE(WEEKDAY(C642),"D","L","M","X","J","V","S")</f>
        <v>J</v>
      </c>
      <c r="E642" s="19">
        <f t="shared" si="165"/>
        <v>8</v>
      </c>
      <c r="F642" s="18">
        <v>31</v>
      </c>
      <c r="G642" s="18">
        <v>3</v>
      </c>
      <c r="H642" s="18">
        <v>23</v>
      </c>
      <c r="I642" s="18">
        <v>15</v>
      </c>
      <c r="J642" s="18">
        <v>18</v>
      </c>
      <c r="K642" s="18">
        <v>39</v>
      </c>
      <c r="L642" s="18">
        <v>26</v>
      </c>
      <c r="M642" s="18">
        <v>5</v>
      </c>
      <c r="N642" s="18" t="s">
        <v>32</v>
      </c>
    </row>
    <row r="643" spans="1:14" x14ac:dyDescent="0.25">
      <c r="A643" s="18">
        <f t="shared" si="48"/>
        <v>954</v>
      </c>
      <c r="B643" s="20" t="s">
        <v>736</v>
      </c>
      <c r="C643" s="128">
        <v>43883</v>
      </c>
      <c r="D643" s="87" t="str">
        <f t="shared" ref="D643" si="168">CHOOSE(WEEKDAY(C643),"D","L","M","X","J","V","S")</f>
        <v>S</v>
      </c>
      <c r="E643" s="19">
        <f t="shared" si="165"/>
        <v>8</v>
      </c>
      <c r="F643" s="18">
        <v>44</v>
      </c>
      <c r="G643" s="18">
        <v>25</v>
      </c>
      <c r="H643" s="18">
        <v>31</v>
      </c>
      <c r="I643" s="18">
        <v>7</v>
      </c>
      <c r="J643" s="18">
        <v>12</v>
      </c>
      <c r="K643" s="18">
        <v>37</v>
      </c>
      <c r="L643" s="18">
        <v>39</v>
      </c>
      <c r="M643" s="18">
        <v>4</v>
      </c>
      <c r="N643" s="18" t="s">
        <v>32</v>
      </c>
    </row>
    <row r="644" spans="1:14" x14ac:dyDescent="0.25">
      <c r="A644" s="18">
        <f t="shared" si="48"/>
        <v>955</v>
      </c>
      <c r="B644" s="20" t="s">
        <v>737</v>
      </c>
      <c r="C644" s="128">
        <v>43888</v>
      </c>
      <c r="D644" s="87" t="str">
        <f t="shared" ref="D644" si="169">CHOOSE(WEEKDAY(C644),"D","L","M","X","J","V","S")</f>
        <v>J</v>
      </c>
      <c r="E644" s="19">
        <f t="shared" si="165"/>
        <v>9</v>
      </c>
      <c r="F644" s="18">
        <v>18</v>
      </c>
      <c r="G644" s="18">
        <v>24</v>
      </c>
      <c r="H644" s="18">
        <v>25</v>
      </c>
      <c r="I644" s="18">
        <v>16</v>
      </c>
      <c r="J644" s="18">
        <v>34</v>
      </c>
      <c r="K644" s="18">
        <v>42</v>
      </c>
      <c r="L644" s="18">
        <v>11</v>
      </c>
      <c r="M644" s="18">
        <v>7</v>
      </c>
      <c r="N644" s="18" t="s">
        <v>32</v>
      </c>
    </row>
    <row r="645" spans="1:14" x14ac:dyDescent="0.25">
      <c r="A645" s="18">
        <f t="shared" si="48"/>
        <v>956</v>
      </c>
      <c r="B645" s="20" t="s">
        <v>738</v>
      </c>
      <c r="C645" s="128">
        <v>43890</v>
      </c>
      <c r="D645" s="87" t="str">
        <f t="shared" ref="D645" si="170">CHOOSE(WEEKDAY(C645),"D","L","M","X","J","V","S")</f>
        <v>S</v>
      </c>
      <c r="E645" s="19">
        <f t="shared" ref="E645" si="171">WEEKNUM(C645,21)</f>
        <v>9</v>
      </c>
      <c r="F645" s="18">
        <v>17</v>
      </c>
      <c r="G645" s="18">
        <v>41</v>
      </c>
      <c r="H645" s="18">
        <v>3</v>
      </c>
      <c r="I645" s="18">
        <v>47</v>
      </c>
      <c r="J645" s="18">
        <v>36</v>
      </c>
      <c r="K645" s="18">
        <v>28</v>
      </c>
      <c r="L645" s="18">
        <v>49</v>
      </c>
      <c r="M645" s="18">
        <v>4</v>
      </c>
      <c r="N645" s="18" t="s">
        <v>32</v>
      </c>
    </row>
    <row r="646" spans="1:14" x14ac:dyDescent="0.25">
      <c r="A646" s="18">
        <f t="shared" si="48"/>
        <v>957</v>
      </c>
      <c r="B646" s="20" t="s">
        <v>739</v>
      </c>
      <c r="C646" s="128">
        <v>43895</v>
      </c>
      <c r="D646" s="87" t="str">
        <f t="shared" ref="D646:D647" si="172">CHOOSE(WEEKDAY(C646),"D","L","M","X","J","V","S")</f>
        <v>J</v>
      </c>
      <c r="E646" s="19">
        <f t="shared" ref="E646" si="173">WEEKNUM(C646,21)</f>
        <v>10</v>
      </c>
      <c r="F646" s="88">
        <v>5</v>
      </c>
      <c r="G646" s="88">
        <v>46</v>
      </c>
      <c r="H646" s="88">
        <v>49</v>
      </c>
      <c r="I646" s="88">
        <v>15</v>
      </c>
      <c r="J646" s="88">
        <v>19</v>
      </c>
      <c r="K646" s="88">
        <v>27</v>
      </c>
      <c r="L646" s="88">
        <v>39</v>
      </c>
      <c r="M646" s="88">
        <v>3</v>
      </c>
      <c r="N646" s="18" t="s">
        <v>32</v>
      </c>
    </row>
    <row r="647" spans="1:14" x14ac:dyDescent="0.25">
      <c r="A647" s="18">
        <f t="shared" si="48"/>
        <v>958</v>
      </c>
      <c r="B647" s="20" t="s">
        <v>741</v>
      </c>
      <c r="C647" s="128">
        <v>43897</v>
      </c>
      <c r="D647" s="87" t="str">
        <f t="shared" si="172"/>
        <v>S</v>
      </c>
      <c r="E647" s="19">
        <f>WEEKNUM(C647,21)</f>
        <v>10</v>
      </c>
      <c r="F647" s="18">
        <v>22</v>
      </c>
      <c r="G647" s="18">
        <v>3</v>
      </c>
      <c r="H647" s="18">
        <v>29</v>
      </c>
      <c r="I647" s="18">
        <v>16</v>
      </c>
      <c r="J647" s="18">
        <v>33</v>
      </c>
      <c r="K647" s="18">
        <v>5</v>
      </c>
      <c r="L647" s="18">
        <v>1</v>
      </c>
      <c r="M647" s="18">
        <v>4</v>
      </c>
      <c r="N647" s="18" t="s">
        <v>32</v>
      </c>
    </row>
    <row r="648" spans="1:14" x14ac:dyDescent="0.25">
      <c r="A648" s="18">
        <f t="shared" si="48"/>
        <v>959</v>
      </c>
      <c r="B648" s="20" t="s">
        <v>742</v>
      </c>
      <c r="C648" s="128">
        <v>43902</v>
      </c>
      <c r="D648" s="87" t="str">
        <f t="shared" ref="D648:D649" si="174">CHOOSE(WEEKDAY(C648),"D","L","M","X","J","V","S")</f>
        <v>J</v>
      </c>
      <c r="E648" s="19">
        <f>WEEKNUM(C648,21)</f>
        <v>11</v>
      </c>
      <c r="F648" s="18">
        <v>16</v>
      </c>
      <c r="G648" s="18">
        <v>38</v>
      </c>
      <c r="H648" s="18">
        <v>49</v>
      </c>
      <c r="I648" s="18">
        <v>15</v>
      </c>
      <c r="J648" s="18">
        <v>13</v>
      </c>
      <c r="K648" s="18">
        <v>27</v>
      </c>
      <c r="L648" s="18">
        <v>7</v>
      </c>
      <c r="M648" s="18">
        <v>0</v>
      </c>
      <c r="N648" s="204" t="s">
        <v>32</v>
      </c>
    </row>
    <row r="649" spans="1:14" x14ac:dyDescent="0.25">
      <c r="A649" s="18">
        <f t="shared" si="48"/>
        <v>960</v>
      </c>
      <c r="B649" s="20" t="s">
        <v>743</v>
      </c>
      <c r="C649" s="128">
        <v>43904</v>
      </c>
      <c r="D649" s="87" t="str">
        <f t="shared" si="174"/>
        <v>S</v>
      </c>
      <c r="E649" s="19">
        <f>WEEKNUM(C649,21)</f>
        <v>11</v>
      </c>
      <c r="F649" s="18">
        <v>34</v>
      </c>
      <c r="G649" s="18">
        <v>37</v>
      </c>
      <c r="H649" s="18">
        <v>31</v>
      </c>
      <c r="I649" s="18">
        <v>9</v>
      </c>
      <c r="J649" s="18">
        <v>20</v>
      </c>
      <c r="K649" s="18">
        <v>45</v>
      </c>
      <c r="L649" s="18">
        <v>44</v>
      </c>
      <c r="M649" s="18">
        <v>7</v>
      </c>
      <c r="N649" s="18" t="s">
        <v>32</v>
      </c>
    </row>
  </sheetData>
  <sortState ref="S2:T11">
    <sortCondition descending="1" ref="T2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3"/>
  <dimension ref="A1:M155"/>
  <sheetViews>
    <sheetView topLeftCell="A24" zoomScale="130" zoomScaleNormal="130" workbookViewId="0">
      <selection activeCell="G52" sqref="G52"/>
    </sheetView>
  </sheetViews>
  <sheetFormatPr baseColWidth="10" defaultColWidth="11.42578125" defaultRowHeight="12.75" x14ac:dyDescent="0.2"/>
  <cols>
    <col min="1" max="1" width="7.5703125" style="39" bestFit="1" customWidth="1"/>
    <col min="2" max="2" width="12.5703125" style="39" bestFit="1" customWidth="1"/>
    <col min="3" max="3" width="8.7109375" style="39" customWidth="1"/>
    <col min="4" max="4" width="11.85546875" style="39" bestFit="1" customWidth="1"/>
    <col min="5" max="5" width="14.28515625" style="39" customWidth="1"/>
    <col min="6" max="6" width="11.28515625" style="39" customWidth="1"/>
    <col min="7" max="7" width="12" style="39" customWidth="1"/>
    <col min="8" max="8" width="11.28515625" style="39" customWidth="1"/>
    <col min="9" max="9" width="10.85546875" style="39" bestFit="1" customWidth="1"/>
    <col min="10" max="10" width="10.5703125" style="39" customWidth="1"/>
    <col min="11" max="11" width="12.85546875" style="39" customWidth="1"/>
    <col min="12" max="12" width="6.140625" style="39" customWidth="1"/>
    <col min="13" max="16384" width="11.42578125" style="39"/>
  </cols>
  <sheetData>
    <row r="1" spans="1:13" x14ac:dyDescent="0.2">
      <c r="A1" s="37" t="s">
        <v>607</v>
      </c>
      <c r="B1" s="37" t="s">
        <v>21</v>
      </c>
      <c r="C1" s="38" t="s">
        <v>609</v>
      </c>
      <c r="D1" s="38" t="s">
        <v>19</v>
      </c>
      <c r="E1" s="38" t="s">
        <v>620</v>
      </c>
      <c r="F1" s="38" t="s">
        <v>621</v>
      </c>
      <c r="G1" s="38" t="s">
        <v>622</v>
      </c>
      <c r="H1" s="38" t="s">
        <v>5</v>
      </c>
      <c r="I1" s="38" t="s">
        <v>615</v>
      </c>
      <c r="J1" s="38" t="s">
        <v>12</v>
      </c>
      <c r="K1" s="38" t="s">
        <v>13</v>
      </c>
      <c r="L1" s="38" t="s">
        <v>20</v>
      </c>
      <c r="M1" s="38" t="s">
        <v>623</v>
      </c>
    </row>
    <row r="2" spans="1:13" x14ac:dyDescent="0.2">
      <c r="A2" s="40">
        <v>1</v>
      </c>
      <c r="B2" s="94">
        <f t="shared" ref="B2" si="0">WEEKNUM(D2,21)</f>
        <v>1</v>
      </c>
      <c r="C2" s="91" t="s">
        <v>617</v>
      </c>
      <c r="D2" s="95">
        <v>43832</v>
      </c>
      <c r="E2" s="135"/>
      <c r="F2" s="91" t="s">
        <v>624</v>
      </c>
      <c r="G2" s="135">
        <v>7</v>
      </c>
      <c r="H2" s="91">
        <v>1</v>
      </c>
      <c r="I2" s="136">
        <f>IF(C2="GP",H2*1.5,IF(C2="LP",H2*1,IF(C2="EU",H2*2,H2*0.5)))</f>
        <v>1</v>
      </c>
      <c r="J2" s="136"/>
      <c r="K2" s="136"/>
      <c r="L2" s="135" t="str">
        <f>CHOOSE(WEEKDAY(D2),"D","L","M","X","J","V","S")</f>
        <v>J</v>
      </c>
      <c r="M2" s="90" t="s">
        <v>625</v>
      </c>
    </row>
    <row r="3" spans="1:13" x14ac:dyDescent="0.2">
      <c r="A3" s="40">
        <f t="shared" ref="A3:A45" si="1">+A2+1</f>
        <v>2</v>
      </c>
      <c r="B3" s="94">
        <f t="shared" ref="B3:B4" si="2">WEEKNUM(D3,21)</f>
        <v>1</v>
      </c>
      <c r="C3" s="91" t="s">
        <v>617</v>
      </c>
      <c r="D3" s="95">
        <v>43832</v>
      </c>
      <c r="E3" s="135"/>
      <c r="F3" s="91" t="s">
        <v>624</v>
      </c>
      <c r="G3" s="135">
        <v>9</v>
      </c>
      <c r="H3" s="91">
        <v>1</v>
      </c>
      <c r="I3" s="136">
        <f t="shared" ref="I3:I4" si="3">IF(C3="GP",H3*1.5,IF(C3="LP",H3*1,IF(C3="EU",H3*2,H3*0.5)))</f>
        <v>1</v>
      </c>
      <c r="J3" s="136"/>
      <c r="K3" s="136"/>
      <c r="L3" s="135" t="str">
        <f t="shared" ref="L3:L4" si="4">CHOOSE(WEEKDAY(D3),"D","L","M","X","J","V","S")</f>
        <v>J</v>
      </c>
      <c r="M3" s="90" t="s">
        <v>625</v>
      </c>
    </row>
    <row r="4" spans="1:13" x14ac:dyDescent="0.2">
      <c r="A4" s="40">
        <f t="shared" si="1"/>
        <v>3</v>
      </c>
      <c r="B4" s="94">
        <f t="shared" si="2"/>
        <v>1</v>
      </c>
      <c r="C4" s="91" t="s">
        <v>617</v>
      </c>
      <c r="D4" s="95">
        <v>43834</v>
      </c>
      <c r="E4" s="135"/>
      <c r="F4" s="91" t="s">
        <v>624</v>
      </c>
      <c r="G4" s="135">
        <v>1</v>
      </c>
      <c r="H4" s="91">
        <v>1</v>
      </c>
      <c r="I4" s="136">
        <f t="shared" si="3"/>
        <v>1</v>
      </c>
      <c r="J4" s="136"/>
      <c r="K4" s="136"/>
      <c r="L4" s="135" t="str">
        <f t="shared" si="4"/>
        <v>S</v>
      </c>
      <c r="M4" s="90" t="s">
        <v>625</v>
      </c>
    </row>
    <row r="5" spans="1:13" x14ac:dyDescent="0.2">
      <c r="A5" s="40">
        <f t="shared" si="1"/>
        <v>4</v>
      </c>
      <c r="B5" s="94">
        <f>WEEKNUM(D5,21)</f>
        <v>1</v>
      </c>
      <c r="C5" s="91" t="s">
        <v>617</v>
      </c>
      <c r="D5" s="95">
        <v>43834</v>
      </c>
      <c r="E5" s="135"/>
      <c r="F5" s="91" t="s">
        <v>624</v>
      </c>
      <c r="G5" s="135">
        <v>1</v>
      </c>
      <c r="H5" s="91">
        <v>1</v>
      </c>
      <c r="I5" s="136">
        <f>IF(C5="GP",H5*1.5,IF(C5="LP",H5*1,IF(C5="EU",H5*2,H5*0.5)))</f>
        <v>1</v>
      </c>
      <c r="J5" s="136"/>
      <c r="K5" s="136"/>
      <c r="L5" s="135" t="str">
        <f t="shared" ref="L5:L10" si="5">CHOOSE(WEEKDAY(D5),"D","L","M","X","J","V","S")</f>
        <v>S</v>
      </c>
      <c r="M5" s="90" t="s">
        <v>625</v>
      </c>
    </row>
    <row r="6" spans="1:13" x14ac:dyDescent="0.2">
      <c r="A6" s="40">
        <f t="shared" si="1"/>
        <v>5</v>
      </c>
      <c r="B6" s="94">
        <f>WEEKNUM(D6,21)</f>
        <v>2</v>
      </c>
      <c r="C6" s="91" t="s">
        <v>617</v>
      </c>
      <c r="D6" s="95">
        <v>43839</v>
      </c>
      <c r="E6" s="135"/>
      <c r="F6" s="91" t="s">
        <v>624</v>
      </c>
      <c r="G6" s="135">
        <v>0</v>
      </c>
      <c r="H6" s="91">
        <v>1</v>
      </c>
      <c r="I6" s="136">
        <f t="shared" ref="I6:I9" si="6">IF(C6="GP",H6*1.5,IF(C6="LP",H6*1,IF(C6="EU",H6*2,H6*0.5)))</f>
        <v>1</v>
      </c>
      <c r="J6" s="136"/>
      <c r="K6" s="136"/>
      <c r="L6" s="135" t="str">
        <f t="shared" si="5"/>
        <v>J</v>
      </c>
      <c r="M6" s="90" t="s">
        <v>625</v>
      </c>
    </row>
    <row r="7" spans="1:13" x14ac:dyDescent="0.2">
      <c r="A7" s="40">
        <f t="shared" si="1"/>
        <v>6</v>
      </c>
      <c r="B7" s="94">
        <f>WEEKNUM(D7,21)</f>
        <v>2</v>
      </c>
      <c r="C7" s="91" t="s">
        <v>617</v>
      </c>
      <c r="D7" s="95">
        <v>43839</v>
      </c>
      <c r="E7" s="135"/>
      <c r="F7" s="91" t="s">
        <v>624</v>
      </c>
      <c r="G7" s="135">
        <v>8</v>
      </c>
      <c r="H7" s="91">
        <v>1</v>
      </c>
      <c r="I7" s="136">
        <f t="shared" si="6"/>
        <v>1</v>
      </c>
      <c r="J7" s="136"/>
      <c r="K7" s="136"/>
      <c r="L7" s="135" t="str">
        <f t="shared" si="5"/>
        <v>J</v>
      </c>
      <c r="M7" s="90" t="s">
        <v>625</v>
      </c>
    </row>
    <row r="8" spans="1:13" x14ac:dyDescent="0.2">
      <c r="A8" s="40">
        <f t="shared" si="1"/>
        <v>7</v>
      </c>
      <c r="B8" s="94">
        <f>WEEKNUM(D8,21)</f>
        <v>2</v>
      </c>
      <c r="C8" s="91" t="s">
        <v>617</v>
      </c>
      <c r="D8" s="95">
        <v>43841</v>
      </c>
      <c r="E8" s="135"/>
      <c r="F8" s="91" t="s">
        <v>624</v>
      </c>
      <c r="G8" s="135">
        <v>1</v>
      </c>
      <c r="H8" s="91">
        <v>1</v>
      </c>
      <c r="I8" s="136">
        <f t="shared" si="6"/>
        <v>1</v>
      </c>
      <c r="J8" s="136"/>
      <c r="K8" s="136"/>
      <c r="L8" s="135" t="str">
        <f t="shared" si="5"/>
        <v>S</v>
      </c>
      <c r="M8" s="90" t="s">
        <v>625</v>
      </c>
    </row>
    <row r="9" spans="1:13" x14ac:dyDescent="0.2">
      <c r="A9" s="40">
        <f t="shared" si="1"/>
        <v>8</v>
      </c>
      <c r="B9" s="94">
        <f>WEEKNUM(D9,21)</f>
        <v>2</v>
      </c>
      <c r="C9" s="91" t="s">
        <v>617</v>
      </c>
      <c r="D9" s="95">
        <v>43841</v>
      </c>
      <c r="E9" s="135"/>
      <c r="F9" s="91" t="s">
        <v>624</v>
      </c>
      <c r="G9" s="135">
        <v>4</v>
      </c>
      <c r="H9" s="91">
        <v>1</v>
      </c>
      <c r="I9" s="136">
        <f t="shared" si="6"/>
        <v>1</v>
      </c>
      <c r="J9" s="136"/>
      <c r="K9" s="136"/>
      <c r="L9" s="135" t="str">
        <f t="shared" si="5"/>
        <v>S</v>
      </c>
      <c r="M9" s="90" t="s">
        <v>625</v>
      </c>
    </row>
    <row r="10" spans="1:13" x14ac:dyDescent="0.2">
      <c r="A10" s="40">
        <f t="shared" si="1"/>
        <v>9</v>
      </c>
      <c r="B10" s="94">
        <f t="shared" ref="B10:B12" si="7">WEEKNUM(D10,21)</f>
        <v>3</v>
      </c>
      <c r="C10" s="91" t="s">
        <v>617</v>
      </c>
      <c r="D10" s="95">
        <v>43846</v>
      </c>
      <c r="E10" s="90"/>
      <c r="F10" s="91" t="s">
        <v>624</v>
      </c>
      <c r="G10" s="90">
        <v>3</v>
      </c>
      <c r="H10" s="91">
        <v>1</v>
      </c>
      <c r="I10" s="172">
        <f>IF(C10="GP",H10*1.5,IF(C10="LP",H10*1,IF(C10="EU",H10*2,H10*0.5)))</f>
        <v>1</v>
      </c>
      <c r="J10" s="172"/>
      <c r="K10" s="172"/>
      <c r="L10" s="90" t="str">
        <f t="shared" si="5"/>
        <v>J</v>
      </c>
      <c r="M10" s="90" t="s">
        <v>625</v>
      </c>
    </row>
    <row r="11" spans="1:13" x14ac:dyDescent="0.2">
      <c r="A11" s="40">
        <f t="shared" si="1"/>
        <v>10</v>
      </c>
      <c r="B11" s="94">
        <f t="shared" si="7"/>
        <v>3</v>
      </c>
      <c r="C11" s="91" t="s">
        <v>617</v>
      </c>
      <c r="D11" s="95">
        <v>43846</v>
      </c>
      <c r="E11" s="90"/>
      <c r="F11" s="91" t="s">
        <v>624</v>
      </c>
      <c r="G11" s="90">
        <v>8</v>
      </c>
      <c r="H11" s="91">
        <v>1</v>
      </c>
      <c r="I11" s="172">
        <f t="shared" ref="I11:I12" si="8">IF(C11="GP",H11*1.5,IF(C11="LP",H11*1,IF(C11="EU",H11*2,H11*0.5)))</f>
        <v>1</v>
      </c>
      <c r="J11" s="172"/>
      <c r="K11" s="172"/>
      <c r="L11" s="90" t="str">
        <f t="shared" ref="L11:L12" si="9">CHOOSE(WEEKDAY(D11),"D","L","M","X","J","V","S")</f>
        <v>J</v>
      </c>
      <c r="M11" s="90" t="s">
        <v>625</v>
      </c>
    </row>
    <row r="12" spans="1:13" x14ac:dyDescent="0.2">
      <c r="A12" s="40">
        <f t="shared" si="1"/>
        <v>11</v>
      </c>
      <c r="B12" s="94">
        <f t="shared" si="7"/>
        <v>3</v>
      </c>
      <c r="C12" s="91" t="s">
        <v>617</v>
      </c>
      <c r="D12" s="95">
        <v>43848</v>
      </c>
      <c r="E12" s="90"/>
      <c r="F12" s="91" t="s">
        <v>624</v>
      </c>
      <c r="G12" s="90">
        <v>7</v>
      </c>
      <c r="H12" s="91">
        <v>1</v>
      </c>
      <c r="I12" s="172">
        <f t="shared" si="8"/>
        <v>1</v>
      </c>
      <c r="J12" s="172"/>
      <c r="K12" s="172"/>
      <c r="L12" s="90" t="str">
        <f t="shared" si="9"/>
        <v>S</v>
      </c>
      <c r="M12" s="90" t="s">
        <v>625</v>
      </c>
    </row>
    <row r="13" spans="1:13" x14ac:dyDescent="0.2">
      <c r="A13" s="40">
        <f t="shared" si="1"/>
        <v>12</v>
      </c>
      <c r="B13" s="94">
        <f>WEEKNUM(D13,21)</f>
        <v>3</v>
      </c>
      <c r="C13" s="91" t="s">
        <v>617</v>
      </c>
      <c r="D13" s="95">
        <v>43848</v>
      </c>
      <c r="E13" s="90"/>
      <c r="F13" s="91" t="s">
        <v>624</v>
      </c>
      <c r="G13" s="90">
        <v>2</v>
      </c>
      <c r="H13" s="91">
        <v>1</v>
      </c>
      <c r="I13" s="172">
        <f t="shared" ref="I13:I21" si="10">IF(C13="GP",H13*1.5,IF(C13="LP",H13*1,IF(C13="EU",H13*2,H13*0.5)))</f>
        <v>1</v>
      </c>
      <c r="J13" s="172"/>
      <c r="K13" s="172"/>
      <c r="L13" s="90" t="str">
        <f t="shared" ref="L13:L18" si="11">CHOOSE(WEEKDAY(D13),"D","L","M","X","J","V","S")</f>
        <v>S</v>
      </c>
      <c r="M13" s="90" t="s">
        <v>625</v>
      </c>
    </row>
    <row r="14" spans="1:13" x14ac:dyDescent="0.2">
      <c r="A14" s="40">
        <f t="shared" si="1"/>
        <v>13</v>
      </c>
      <c r="B14" s="94">
        <f>WEEKNUM(D14,21)</f>
        <v>4</v>
      </c>
      <c r="C14" s="91" t="s">
        <v>617</v>
      </c>
      <c r="D14" s="95">
        <v>43853</v>
      </c>
      <c r="E14" s="90"/>
      <c r="F14" s="91" t="s">
        <v>624</v>
      </c>
      <c r="G14" s="174">
        <v>8</v>
      </c>
      <c r="H14" s="91">
        <v>1</v>
      </c>
      <c r="I14" s="175">
        <f t="shared" si="10"/>
        <v>1</v>
      </c>
      <c r="J14" s="175"/>
      <c r="K14" s="175"/>
      <c r="L14" s="174" t="str">
        <f t="shared" si="11"/>
        <v>J</v>
      </c>
      <c r="M14" s="90" t="s">
        <v>625</v>
      </c>
    </row>
    <row r="15" spans="1:13" x14ac:dyDescent="0.2">
      <c r="A15" s="40">
        <f t="shared" si="1"/>
        <v>14</v>
      </c>
      <c r="B15" s="94">
        <f>WEEKNUM(D15,21)</f>
        <v>4</v>
      </c>
      <c r="C15" s="91" t="s">
        <v>617</v>
      </c>
      <c r="D15" s="95">
        <v>43853</v>
      </c>
      <c r="E15" s="174"/>
      <c r="F15" s="91" t="s">
        <v>624</v>
      </c>
      <c r="G15" s="174">
        <v>5</v>
      </c>
      <c r="H15" s="91">
        <v>1</v>
      </c>
      <c r="I15" s="175">
        <f t="shared" si="10"/>
        <v>1</v>
      </c>
      <c r="J15" s="175"/>
      <c r="K15" s="175"/>
      <c r="L15" s="174" t="str">
        <f t="shared" si="11"/>
        <v>J</v>
      </c>
      <c r="M15" s="90" t="s">
        <v>625</v>
      </c>
    </row>
    <row r="16" spans="1:13" x14ac:dyDescent="0.2">
      <c r="A16" s="40">
        <f t="shared" si="1"/>
        <v>15</v>
      </c>
      <c r="B16" s="94">
        <f>WEEKNUM(D16,21)</f>
        <v>4</v>
      </c>
      <c r="C16" s="91" t="s">
        <v>617</v>
      </c>
      <c r="D16" s="95">
        <v>43855</v>
      </c>
      <c r="E16" s="174"/>
      <c r="F16" s="91" t="s">
        <v>624</v>
      </c>
      <c r="G16" s="174">
        <v>0</v>
      </c>
      <c r="H16" s="91">
        <v>1</v>
      </c>
      <c r="I16" s="175">
        <f t="shared" si="10"/>
        <v>1</v>
      </c>
      <c r="J16" s="175"/>
      <c r="K16" s="175"/>
      <c r="L16" s="174" t="str">
        <f t="shared" si="11"/>
        <v>S</v>
      </c>
      <c r="M16" s="90" t="s">
        <v>625</v>
      </c>
    </row>
    <row r="17" spans="1:13" x14ac:dyDescent="0.2">
      <c r="A17" s="40">
        <f t="shared" si="1"/>
        <v>16</v>
      </c>
      <c r="B17" s="94">
        <f>WEEKNUM(D17,21)</f>
        <v>4</v>
      </c>
      <c r="C17" s="91" t="s">
        <v>617</v>
      </c>
      <c r="D17" s="95">
        <v>43855</v>
      </c>
      <c r="E17" s="174"/>
      <c r="F17" s="91" t="s">
        <v>624</v>
      </c>
      <c r="G17" s="174">
        <v>2</v>
      </c>
      <c r="H17" s="91">
        <v>1</v>
      </c>
      <c r="I17" s="175">
        <f t="shared" si="10"/>
        <v>1</v>
      </c>
      <c r="J17" s="175"/>
      <c r="K17" s="175"/>
      <c r="L17" s="174" t="str">
        <f t="shared" si="11"/>
        <v>S</v>
      </c>
      <c r="M17" s="90" t="s">
        <v>625</v>
      </c>
    </row>
    <row r="18" spans="1:13" x14ac:dyDescent="0.2">
      <c r="A18" s="40">
        <f t="shared" si="1"/>
        <v>17</v>
      </c>
      <c r="B18" s="94">
        <f t="shared" ref="B18:B21" si="12">WEEKNUM(D18,21)</f>
        <v>5</v>
      </c>
      <c r="C18" s="91" t="s">
        <v>617</v>
      </c>
      <c r="D18" s="95">
        <v>43860</v>
      </c>
      <c r="E18" s="174"/>
      <c r="F18" s="91" t="s">
        <v>624</v>
      </c>
      <c r="G18" s="174">
        <v>0</v>
      </c>
      <c r="H18" s="91">
        <v>1</v>
      </c>
      <c r="I18" s="175">
        <f t="shared" si="10"/>
        <v>1</v>
      </c>
      <c r="J18" s="175"/>
      <c r="K18" s="175"/>
      <c r="L18" s="174" t="str">
        <f t="shared" si="11"/>
        <v>J</v>
      </c>
      <c r="M18" s="90" t="s">
        <v>625</v>
      </c>
    </row>
    <row r="19" spans="1:13" x14ac:dyDescent="0.2">
      <c r="A19" s="40">
        <f t="shared" si="1"/>
        <v>18</v>
      </c>
      <c r="B19" s="94">
        <f t="shared" si="12"/>
        <v>5</v>
      </c>
      <c r="C19" s="91" t="s">
        <v>617</v>
      </c>
      <c r="D19" s="95">
        <v>43860</v>
      </c>
      <c r="E19" s="174"/>
      <c r="F19" s="91" t="s">
        <v>624</v>
      </c>
      <c r="G19" s="174">
        <v>8</v>
      </c>
      <c r="H19" s="91">
        <v>1</v>
      </c>
      <c r="I19" s="175">
        <f t="shared" si="10"/>
        <v>1</v>
      </c>
      <c r="J19" s="175"/>
      <c r="K19" s="175"/>
      <c r="L19" s="174" t="str">
        <f t="shared" ref="L19:L21" si="13">CHOOSE(WEEKDAY(D19),"D","L","M","X","J","V","S")</f>
        <v>J</v>
      </c>
      <c r="M19" s="90" t="s">
        <v>625</v>
      </c>
    </row>
    <row r="20" spans="1:13" x14ac:dyDescent="0.2">
      <c r="A20" s="40">
        <f t="shared" si="1"/>
        <v>19</v>
      </c>
      <c r="B20" s="94">
        <f t="shared" si="12"/>
        <v>5</v>
      </c>
      <c r="C20" s="91" t="s">
        <v>617</v>
      </c>
      <c r="D20" s="95">
        <v>43862</v>
      </c>
      <c r="E20" s="174"/>
      <c r="F20" s="91" t="s">
        <v>624</v>
      </c>
      <c r="G20" s="174">
        <v>5</v>
      </c>
      <c r="H20" s="91">
        <v>1</v>
      </c>
      <c r="I20" s="175">
        <f t="shared" si="10"/>
        <v>1</v>
      </c>
      <c r="J20" s="175"/>
      <c r="K20" s="175"/>
      <c r="L20" s="174" t="str">
        <f t="shared" si="13"/>
        <v>S</v>
      </c>
      <c r="M20" s="90" t="s">
        <v>625</v>
      </c>
    </row>
    <row r="21" spans="1:13" x14ac:dyDescent="0.2">
      <c r="A21" s="40">
        <f t="shared" si="1"/>
        <v>20</v>
      </c>
      <c r="B21" s="94">
        <f t="shared" si="12"/>
        <v>5</v>
      </c>
      <c r="C21" s="91" t="s">
        <v>617</v>
      </c>
      <c r="D21" s="95">
        <v>43862</v>
      </c>
      <c r="E21" s="174"/>
      <c r="F21" s="91" t="s">
        <v>624</v>
      </c>
      <c r="G21" s="174">
        <v>2</v>
      </c>
      <c r="H21" s="91">
        <v>1</v>
      </c>
      <c r="I21" s="175">
        <f t="shared" si="10"/>
        <v>1</v>
      </c>
      <c r="J21" s="175"/>
      <c r="K21" s="175"/>
      <c r="L21" s="174" t="str">
        <f t="shared" si="13"/>
        <v>S</v>
      </c>
      <c r="M21" s="90" t="s">
        <v>625</v>
      </c>
    </row>
    <row r="22" spans="1:13" x14ac:dyDescent="0.2">
      <c r="A22" s="40">
        <f t="shared" si="1"/>
        <v>21</v>
      </c>
      <c r="B22" s="94">
        <f>WEEKNUM(D22,21)</f>
        <v>6</v>
      </c>
      <c r="C22" s="91" t="s">
        <v>617</v>
      </c>
      <c r="D22" s="95">
        <v>43867</v>
      </c>
      <c r="E22" s="90"/>
      <c r="F22" s="91" t="s">
        <v>624</v>
      </c>
      <c r="G22" s="90">
        <v>6</v>
      </c>
      <c r="H22" s="91">
        <v>1</v>
      </c>
      <c r="I22" s="175">
        <f t="shared" ref="I22" si="14">IF(C22="GP",H22*1.5,IF(C22="LP",H22*1,IF(C22="EU",H22*2,H22*0.5)))</f>
        <v>1</v>
      </c>
      <c r="J22" s="175"/>
      <c r="K22" s="175"/>
      <c r="L22" s="174" t="str">
        <f t="shared" ref="L22" si="15">CHOOSE(WEEKDAY(D22),"D","L","M","X","J","V","S")</f>
        <v>J</v>
      </c>
      <c r="M22" s="90" t="s">
        <v>625</v>
      </c>
    </row>
    <row r="23" spans="1:13" x14ac:dyDescent="0.2">
      <c r="A23" s="40">
        <f t="shared" si="1"/>
        <v>22</v>
      </c>
      <c r="B23" s="94">
        <f t="shared" ref="B23:B25" si="16">WEEKNUM(D23,21)</f>
        <v>6</v>
      </c>
      <c r="C23" s="91" t="s">
        <v>617</v>
      </c>
      <c r="D23" s="95">
        <v>43867</v>
      </c>
      <c r="E23" s="90"/>
      <c r="F23" s="91" t="s">
        <v>624</v>
      </c>
      <c r="G23" s="90">
        <v>1</v>
      </c>
      <c r="H23" s="91">
        <v>1</v>
      </c>
      <c r="I23" s="175">
        <f t="shared" ref="I23:I25" si="17">IF(C23="GP",H23*1.5,IF(C23="LP",H23*1,IF(C23="EU",H23*2,H23*0.5)))</f>
        <v>1</v>
      </c>
      <c r="J23" s="175"/>
      <c r="K23" s="175"/>
      <c r="L23" s="174" t="str">
        <f t="shared" ref="L23:L25" si="18">CHOOSE(WEEKDAY(D23),"D","L","M","X","J","V","S")</f>
        <v>J</v>
      </c>
      <c r="M23" s="90" t="s">
        <v>625</v>
      </c>
    </row>
    <row r="24" spans="1:13" x14ac:dyDescent="0.2">
      <c r="A24" s="40">
        <f t="shared" si="1"/>
        <v>23</v>
      </c>
      <c r="B24" s="94">
        <f t="shared" si="16"/>
        <v>6</v>
      </c>
      <c r="C24" s="91" t="s">
        <v>617</v>
      </c>
      <c r="D24" s="95">
        <v>43869</v>
      </c>
      <c r="E24" s="90"/>
      <c r="F24" s="91" t="s">
        <v>624</v>
      </c>
      <c r="G24" s="90">
        <v>3</v>
      </c>
      <c r="H24" s="91">
        <v>1</v>
      </c>
      <c r="I24" s="175">
        <f t="shared" si="17"/>
        <v>1</v>
      </c>
      <c r="J24" s="175"/>
      <c r="K24" s="175"/>
      <c r="L24" s="174" t="str">
        <f t="shared" si="18"/>
        <v>S</v>
      </c>
      <c r="M24" s="90" t="s">
        <v>625</v>
      </c>
    </row>
    <row r="25" spans="1:13" x14ac:dyDescent="0.2">
      <c r="A25" s="40">
        <f t="shared" si="1"/>
        <v>24</v>
      </c>
      <c r="B25" s="94">
        <f t="shared" si="16"/>
        <v>6</v>
      </c>
      <c r="C25" s="91" t="s">
        <v>617</v>
      </c>
      <c r="D25" s="95">
        <v>43869</v>
      </c>
      <c r="E25" s="90"/>
      <c r="F25" s="91" t="s">
        <v>624</v>
      </c>
      <c r="G25" s="90">
        <v>3</v>
      </c>
      <c r="H25" s="91">
        <v>1</v>
      </c>
      <c r="I25" s="175">
        <f t="shared" si="17"/>
        <v>1</v>
      </c>
      <c r="J25" s="175"/>
      <c r="K25" s="175"/>
      <c r="L25" s="174" t="str">
        <f t="shared" si="18"/>
        <v>S</v>
      </c>
      <c r="M25" s="90" t="s">
        <v>625</v>
      </c>
    </row>
    <row r="26" spans="1:13" x14ac:dyDescent="0.2">
      <c r="A26" s="40">
        <f t="shared" si="1"/>
        <v>25</v>
      </c>
      <c r="B26" s="94">
        <f>WEEKNUM(D26,21)</f>
        <v>7</v>
      </c>
      <c r="C26" s="91" t="s">
        <v>617</v>
      </c>
      <c r="D26" s="95">
        <v>43874</v>
      </c>
      <c r="E26" s="185"/>
      <c r="F26" s="91" t="s">
        <v>624</v>
      </c>
      <c r="G26" s="185">
        <v>0</v>
      </c>
      <c r="H26" s="91">
        <v>1</v>
      </c>
      <c r="I26" s="175">
        <f t="shared" ref="I26:I29" si="19">IF(C26="GP",H26*1.5,IF(C26="LP",H26*1,IF(C26="EU",H26*2,H26*0.5)))</f>
        <v>1</v>
      </c>
      <c r="J26" s="186"/>
      <c r="K26" s="187">
        <v>1</v>
      </c>
      <c r="L26" s="185" t="str">
        <f>CHOOSE(WEEKDAY(D26),"D","L","M","X","J","V","S")</f>
        <v>J</v>
      </c>
      <c r="M26" s="90" t="s">
        <v>625</v>
      </c>
    </row>
    <row r="27" spans="1:13" x14ac:dyDescent="0.2">
      <c r="A27" s="40">
        <f t="shared" si="1"/>
        <v>26</v>
      </c>
      <c r="B27" s="94">
        <f>WEEKNUM(D27,21)</f>
        <v>7</v>
      </c>
      <c r="C27" s="91" t="s">
        <v>617</v>
      </c>
      <c r="D27" s="95">
        <v>43874</v>
      </c>
      <c r="E27" s="185"/>
      <c r="F27" s="91" t="s">
        <v>624</v>
      </c>
      <c r="G27" s="185">
        <v>3</v>
      </c>
      <c r="H27" s="91">
        <v>1</v>
      </c>
      <c r="I27" s="175">
        <f t="shared" si="19"/>
        <v>1</v>
      </c>
      <c r="J27" s="186"/>
      <c r="K27" s="186"/>
      <c r="L27" s="185" t="str">
        <f>CHOOSE(WEEKDAY(D27),"D","L","M","X","J","V","S")</f>
        <v>J</v>
      </c>
      <c r="M27" s="90" t="s">
        <v>625</v>
      </c>
    </row>
    <row r="28" spans="1:13" x14ac:dyDescent="0.2">
      <c r="A28" s="40">
        <f t="shared" si="1"/>
        <v>27</v>
      </c>
      <c r="B28" s="94">
        <f>WEEKNUM(D28,21)</f>
        <v>7</v>
      </c>
      <c r="C28" s="91" t="s">
        <v>617</v>
      </c>
      <c r="D28" s="95">
        <v>43876</v>
      </c>
      <c r="E28" s="185"/>
      <c r="F28" s="91" t="s">
        <v>624</v>
      </c>
      <c r="G28" s="185">
        <v>9</v>
      </c>
      <c r="H28" s="91">
        <v>1</v>
      </c>
      <c r="I28" s="175">
        <f t="shared" si="19"/>
        <v>1</v>
      </c>
      <c r="J28" s="186"/>
      <c r="K28" s="187">
        <v>1</v>
      </c>
      <c r="L28" s="185" t="str">
        <f>CHOOSE(WEEKDAY(D28),"D","L","M","X","J","V","S")</f>
        <v>S</v>
      </c>
      <c r="M28" s="90" t="s">
        <v>625</v>
      </c>
    </row>
    <row r="29" spans="1:13" x14ac:dyDescent="0.2">
      <c r="A29" s="40">
        <f t="shared" si="1"/>
        <v>28</v>
      </c>
      <c r="B29" s="94">
        <f>WEEKNUM(D29,21)</f>
        <v>7</v>
      </c>
      <c r="C29" s="91" t="s">
        <v>617</v>
      </c>
      <c r="D29" s="95">
        <v>43876</v>
      </c>
      <c r="E29" s="185"/>
      <c r="F29" s="91" t="s">
        <v>624</v>
      </c>
      <c r="G29" s="185">
        <v>2</v>
      </c>
      <c r="H29" s="91">
        <v>1</v>
      </c>
      <c r="I29" s="175">
        <f t="shared" si="19"/>
        <v>1</v>
      </c>
      <c r="J29" s="186"/>
      <c r="K29" s="186"/>
      <c r="L29" s="185" t="str">
        <f>CHOOSE(WEEKDAY(D29),"D","L","M","X","J","V","S")</f>
        <v>S</v>
      </c>
      <c r="M29" s="90" t="s">
        <v>625</v>
      </c>
    </row>
    <row r="30" spans="1:13" x14ac:dyDescent="0.2">
      <c r="A30" s="40">
        <f t="shared" si="1"/>
        <v>29</v>
      </c>
      <c r="B30" s="94">
        <f t="shared" ref="B30:B33" si="20">WEEKNUM(D30,21)</f>
        <v>8</v>
      </c>
      <c r="C30" s="91" t="s">
        <v>617</v>
      </c>
      <c r="D30" s="95">
        <v>43881</v>
      </c>
      <c r="E30" s="188"/>
      <c r="F30" s="91" t="s">
        <v>624</v>
      </c>
      <c r="G30" s="188">
        <v>7</v>
      </c>
      <c r="H30" s="91">
        <v>1</v>
      </c>
      <c r="I30" s="175">
        <f t="shared" ref="I30:I33" si="21">IF(C30="GP",H30*1.5,IF(C30="LP",H30*1,IF(C30="EU",H30*2,H30*0.5)))</f>
        <v>1</v>
      </c>
      <c r="J30" s="189"/>
      <c r="K30" s="189"/>
      <c r="L30" s="188" t="str">
        <f>CHOOSE(WEEKDAY(D30),"D","L","M","X","J","V","S")</f>
        <v>J</v>
      </c>
      <c r="M30" s="90" t="s">
        <v>625</v>
      </c>
    </row>
    <row r="31" spans="1:13" x14ac:dyDescent="0.2">
      <c r="A31" s="40">
        <f t="shared" si="1"/>
        <v>30</v>
      </c>
      <c r="B31" s="94">
        <f t="shared" si="20"/>
        <v>8</v>
      </c>
      <c r="C31" s="91" t="s">
        <v>617</v>
      </c>
      <c r="D31" s="95">
        <v>43881</v>
      </c>
      <c r="E31" s="188"/>
      <c r="F31" s="91" t="s">
        <v>624</v>
      </c>
      <c r="G31" s="188">
        <v>5</v>
      </c>
      <c r="H31" s="91">
        <v>1</v>
      </c>
      <c r="I31" s="175">
        <f t="shared" si="21"/>
        <v>1</v>
      </c>
      <c r="J31" s="189"/>
      <c r="K31" s="191">
        <v>1</v>
      </c>
      <c r="L31" s="188" t="str">
        <f t="shared" ref="L31:L33" si="22">CHOOSE(WEEKDAY(D31),"D","L","M","X","J","V","S")</f>
        <v>J</v>
      </c>
      <c r="M31" s="90" t="s">
        <v>625</v>
      </c>
    </row>
    <row r="32" spans="1:13" x14ac:dyDescent="0.2">
      <c r="A32" s="40">
        <f t="shared" si="1"/>
        <v>31</v>
      </c>
      <c r="B32" s="94">
        <f t="shared" si="20"/>
        <v>8</v>
      </c>
      <c r="C32" s="91" t="s">
        <v>617</v>
      </c>
      <c r="D32" s="95">
        <v>43883</v>
      </c>
      <c r="E32" s="188"/>
      <c r="F32" s="91" t="s">
        <v>624</v>
      </c>
      <c r="G32" s="188">
        <v>5</v>
      </c>
      <c r="H32" s="91">
        <v>1</v>
      </c>
      <c r="I32" s="175">
        <f t="shared" si="21"/>
        <v>1</v>
      </c>
      <c r="J32" s="189"/>
      <c r="K32" s="189"/>
      <c r="L32" s="188" t="str">
        <f t="shared" si="22"/>
        <v>S</v>
      </c>
      <c r="M32" s="90" t="s">
        <v>625</v>
      </c>
    </row>
    <row r="33" spans="1:13" x14ac:dyDescent="0.2">
      <c r="A33" s="40">
        <f t="shared" si="1"/>
        <v>32</v>
      </c>
      <c r="B33" s="94">
        <f t="shared" si="20"/>
        <v>8</v>
      </c>
      <c r="C33" s="91" t="s">
        <v>617</v>
      </c>
      <c r="D33" s="95">
        <v>43883</v>
      </c>
      <c r="E33" s="188"/>
      <c r="F33" s="91" t="s">
        <v>624</v>
      </c>
      <c r="G33" s="188">
        <v>2</v>
      </c>
      <c r="H33" s="91">
        <v>1</v>
      </c>
      <c r="I33" s="175">
        <f t="shared" si="21"/>
        <v>1</v>
      </c>
      <c r="J33" s="189"/>
      <c r="K33" s="189"/>
      <c r="L33" s="188" t="str">
        <f t="shared" si="22"/>
        <v>S</v>
      </c>
      <c r="M33" s="90" t="s">
        <v>625</v>
      </c>
    </row>
    <row r="34" spans="1:13" x14ac:dyDescent="0.2">
      <c r="A34" s="40">
        <f t="shared" si="1"/>
        <v>33</v>
      </c>
      <c r="B34" s="94">
        <f t="shared" ref="B34" si="23">WEEKNUM(D34,21)</f>
        <v>9</v>
      </c>
      <c r="C34" s="91" t="s">
        <v>617</v>
      </c>
      <c r="D34" s="95">
        <v>43888</v>
      </c>
      <c r="E34" s="90"/>
      <c r="F34" s="91" t="s">
        <v>624</v>
      </c>
      <c r="G34" s="90">
        <v>7</v>
      </c>
      <c r="H34" s="91">
        <v>1</v>
      </c>
      <c r="I34" s="175">
        <f t="shared" ref="I34" si="24">IF(C34="GP",H34*1.5,IF(C34="LP",H34*1,IF(C34="EU",H34*2,H34*0.5)))</f>
        <v>1</v>
      </c>
      <c r="J34" s="189"/>
      <c r="K34" s="191">
        <v>1</v>
      </c>
      <c r="L34" s="188" t="str">
        <f t="shared" ref="L34" si="25">CHOOSE(WEEKDAY(D34),"D","L","M","X","J","V","S")</f>
        <v>J</v>
      </c>
      <c r="M34" s="90" t="s">
        <v>625</v>
      </c>
    </row>
    <row r="35" spans="1:13" x14ac:dyDescent="0.2">
      <c r="A35" s="40">
        <f t="shared" si="1"/>
        <v>34</v>
      </c>
      <c r="B35" s="94">
        <f t="shared" ref="B35:B37" si="26">WEEKNUM(D35,21)</f>
        <v>9</v>
      </c>
      <c r="C35" s="91" t="s">
        <v>617</v>
      </c>
      <c r="D35" s="95">
        <v>43888</v>
      </c>
      <c r="E35" s="90"/>
      <c r="F35" s="91" t="s">
        <v>624</v>
      </c>
      <c r="G35" s="90">
        <v>4</v>
      </c>
      <c r="H35" s="91">
        <v>1</v>
      </c>
      <c r="I35" s="175">
        <f t="shared" ref="I35:I37" si="27">IF(C35="GP",H35*1.5,IF(C35="LP",H35*1,IF(C35="EU",H35*2,H35*0.5)))</f>
        <v>1</v>
      </c>
      <c r="J35" s="189"/>
      <c r="K35" s="191"/>
      <c r="L35" s="188" t="str">
        <f t="shared" ref="L35:L37" si="28">CHOOSE(WEEKDAY(D35),"D","L","M","X","J","V","S")</f>
        <v>J</v>
      </c>
      <c r="M35" s="90" t="s">
        <v>625</v>
      </c>
    </row>
    <row r="36" spans="1:13" x14ac:dyDescent="0.2">
      <c r="A36" s="40">
        <f t="shared" si="1"/>
        <v>35</v>
      </c>
      <c r="B36" s="94">
        <f t="shared" si="26"/>
        <v>9</v>
      </c>
      <c r="C36" s="91" t="s">
        <v>617</v>
      </c>
      <c r="D36" s="95">
        <v>43890</v>
      </c>
      <c r="E36" s="90"/>
      <c r="F36" s="91" t="s">
        <v>624</v>
      </c>
      <c r="G36" s="90">
        <v>4</v>
      </c>
      <c r="H36" s="91">
        <v>1</v>
      </c>
      <c r="I36" s="175">
        <f t="shared" si="27"/>
        <v>1</v>
      </c>
      <c r="J36" s="189"/>
      <c r="K36" s="191">
        <v>1</v>
      </c>
      <c r="L36" s="188" t="str">
        <f t="shared" si="28"/>
        <v>S</v>
      </c>
      <c r="M36" s="90" t="s">
        <v>625</v>
      </c>
    </row>
    <row r="37" spans="1:13" x14ac:dyDescent="0.2">
      <c r="A37" s="40">
        <f t="shared" si="1"/>
        <v>36</v>
      </c>
      <c r="B37" s="94">
        <f t="shared" si="26"/>
        <v>9</v>
      </c>
      <c r="C37" s="91" t="s">
        <v>617</v>
      </c>
      <c r="D37" s="95">
        <v>43890</v>
      </c>
      <c r="E37" s="90"/>
      <c r="F37" s="91" t="s">
        <v>624</v>
      </c>
      <c r="G37" s="90">
        <v>0</v>
      </c>
      <c r="H37" s="91">
        <v>1</v>
      </c>
      <c r="I37" s="175">
        <f t="shared" si="27"/>
        <v>1</v>
      </c>
      <c r="J37" s="189"/>
      <c r="K37" s="189"/>
      <c r="L37" s="188" t="str">
        <f t="shared" si="28"/>
        <v>S</v>
      </c>
      <c r="M37" s="90" t="s">
        <v>625</v>
      </c>
    </row>
    <row r="38" spans="1:13" x14ac:dyDescent="0.2">
      <c r="A38" s="40">
        <f t="shared" si="1"/>
        <v>37</v>
      </c>
      <c r="B38" s="94">
        <f t="shared" ref="B38:B41" si="29">WEEKNUM(D38,21)</f>
        <v>10</v>
      </c>
      <c r="C38" s="91" t="s">
        <v>617</v>
      </c>
      <c r="D38" s="95">
        <v>43895</v>
      </c>
      <c r="E38" s="90"/>
      <c r="F38" s="91" t="s">
        <v>624</v>
      </c>
      <c r="G38" s="193">
        <v>2</v>
      </c>
      <c r="H38" s="91">
        <v>1</v>
      </c>
      <c r="I38" s="194">
        <f>IF(C38="GP",H38*1.5,IF(C38="LP",H38*1,IF(C38="EU",H38*2,H38*0.5)))</f>
        <v>1</v>
      </c>
      <c r="J38" s="194"/>
      <c r="K38" s="194"/>
      <c r="L38" s="193" t="str">
        <f>CHOOSE(WEEKDAY(D38),"D","L","M","X","J","V","S")</f>
        <v>J</v>
      </c>
      <c r="M38" s="90" t="s">
        <v>625</v>
      </c>
    </row>
    <row r="39" spans="1:13" x14ac:dyDescent="0.2">
      <c r="A39" s="40">
        <f t="shared" si="1"/>
        <v>38</v>
      </c>
      <c r="B39" s="94">
        <f t="shared" si="29"/>
        <v>10</v>
      </c>
      <c r="C39" s="91" t="s">
        <v>617</v>
      </c>
      <c r="D39" s="95">
        <v>43895</v>
      </c>
      <c r="E39" s="90"/>
      <c r="F39" s="91" t="s">
        <v>624</v>
      </c>
      <c r="G39" s="193">
        <v>2</v>
      </c>
      <c r="H39" s="91">
        <v>1</v>
      </c>
      <c r="I39" s="194">
        <f t="shared" ref="I39:I41" si="30">IF(C39="GP",H39*1.5,IF(C39="LP",H39*1,IF(C39="EU",H39*2,H39*0.5)))</f>
        <v>1</v>
      </c>
      <c r="J39" s="194"/>
      <c r="K39" s="194"/>
      <c r="L39" s="193" t="str">
        <f t="shared" ref="L39:L41" si="31">CHOOSE(WEEKDAY(D39),"D","L","M","X","J","V","S")</f>
        <v>J</v>
      </c>
      <c r="M39" s="90" t="s">
        <v>625</v>
      </c>
    </row>
    <row r="40" spans="1:13" x14ac:dyDescent="0.2">
      <c r="A40" s="40">
        <f t="shared" si="1"/>
        <v>39</v>
      </c>
      <c r="B40" s="94">
        <f t="shared" si="29"/>
        <v>10</v>
      </c>
      <c r="C40" s="91" t="s">
        <v>617</v>
      </c>
      <c r="D40" s="95">
        <v>43897</v>
      </c>
      <c r="E40" s="90"/>
      <c r="F40" s="91" t="s">
        <v>624</v>
      </c>
      <c r="G40" s="193">
        <v>2</v>
      </c>
      <c r="H40" s="91">
        <v>1</v>
      </c>
      <c r="I40" s="194">
        <f t="shared" si="30"/>
        <v>1</v>
      </c>
      <c r="J40" s="194"/>
      <c r="K40" s="194"/>
      <c r="L40" s="193" t="str">
        <f t="shared" si="31"/>
        <v>S</v>
      </c>
      <c r="M40" s="90" t="s">
        <v>625</v>
      </c>
    </row>
    <row r="41" spans="1:13" x14ac:dyDescent="0.2">
      <c r="A41" s="40">
        <f t="shared" si="1"/>
        <v>40</v>
      </c>
      <c r="B41" s="94">
        <f t="shared" si="29"/>
        <v>10</v>
      </c>
      <c r="C41" s="91" t="s">
        <v>617</v>
      </c>
      <c r="D41" s="95">
        <v>43897</v>
      </c>
      <c r="E41" s="90"/>
      <c r="F41" s="91" t="s">
        <v>624</v>
      </c>
      <c r="G41" s="193">
        <v>2</v>
      </c>
      <c r="H41" s="91">
        <v>1</v>
      </c>
      <c r="I41" s="194">
        <f t="shared" si="30"/>
        <v>1</v>
      </c>
      <c r="J41" s="194"/>
      <c r="K41" s="194"/>
      <c r="L41" s="193" t="str">
        <f t="shared" si="31"/>
        <v>S</v>
      </c>
      <c r="M41" s="90" t="s">
        <v>625</v>
      </c>
    </row>
    <row r="42" spans="1:13" x14ac:dyDescent="0.2">
      <c r="A42" s="40">
        <f t="shared" si="1"/>
        <v>41</v>
      </c>
      <c r="B42" s="94">
        <f t="shared" ref="B42:B45" si="32">WEEKNUM(D42,21)</f>
        <v>11</v>
      </c>
      <c r="C42" s="91" t="s">
        <v>617</v>
      </c>
      <c r="D42" s="95">
        <v>43902</v>
      </c>
      <c r="E42" s="90"/>
      <c r="F42" s="91" t="s">
        <v>624</v>
      </c>
      <c r="G42" s="90">
        <v>3</v>
      </c>
      <c r="H42" s="91">
        <v>1</v>
      </c>
      <c r="I42" s="172">
        <f>IF(C42="GP",H42*1.5,IF(C42="LP",H42*1,IF(C42="EU",H42*2,H42*0.5)))</f>
        <v>1</v>
      </c>
      <c r="J42" s="172"/>
      <c r="K42" s="172"/>
      <c r="L42" s="90" t="str">
        <f>CHOOSE(WEEKDAY(D42),"D","L","M","X","J","V","S")</f>
        <v>J</v>
      </c>
      <c r="M42" s="90" t="s">
        <v>625</v>
      </c>
    </row>
    <row r="43" spans="1:13" x14ac:dyDescent="0.2">
      <c r="A43" s="40">
        <f t="shared" si="1"/>
        <v>42</v>
      </c>
      <c r="B43" s="94">
        <f t="shared" si="32"/>
        <v>11</v>
      </c>
      <c r="C43" s="91" t="s">
        <v>617</v>
      </c>
      <c r="D43" s="95">
        <v>43902</v>
      </c>
      <c r="E43" s="90"/>
      <c r="F43" s="91" t="s">
        <v>624</v>
      </c>
      <c r="G43" s="90">
        <v>0</v>
      </c>
      <c r="H43" s="91">
        <v>1</v>
      </c>
      <c r="I43" s="172">
        <f t="shared" ref="I43:I45" si="33">IF(C43="GP",H43*1.5,IF(C43="LP",H43*1,IF(C43="EU",H43*2,H43*0.5)))</f>
        <v>1</v>
      </c>
      <c r="J43" s="172"/>
      <c r="K43" s="197">
        <v>1</v>
      </c>
      <c r="L43" s="90" t="str">
        <f t="shared" ref="L43:L45" si="34">CHOOSE(WEEKDAY(D43),"D","L","M","X","J","V","S")</f>
        <v>J</v>
      </c>
      <c r="M43" s="90" t="s">
        <v>625</v>
      </c>
    </row>
    <row r="44" spans="1:13" x14ac:dyDescent="0.2">
      <c r="A44" s="40">
        <f t="shared" si="1"/>
        <v>43</v>
      </c>
      <c r="B44" s="94">
        <f t="shared" si="32"/>
        <v>11</v>
      </c>
      <c r="C44" s="91" t="s">
        <v>617</v>
      </c>
      <c r="D44" s="95">
        <v>43904</v>
      </c>
      <c r="E44" s="90"/>
      <c r="F44" s="91" t="s">
        <v>624</v>
      </c>
      <c r="G44" s="90">
        <v>2</v>
      </c>
      <c r="H44" s="91">
        <v>1</v>
      </c>
      <c r="I44" s="172">
        <f t="shared" si="33"/>
        <v>1</v>
      </c>
      <c r="J44" s="172"/>
      <c r="K44" s="172"/>
      <c r="L44" s="90" t="str">
        <f t="shared" si="34"/>
        <v>S</v>
      </c>
      <c r="M44" s="90" t="s">
        <v>625</v>
      </c>
    </row>
    <row r="45" spans="1:13" x14ac:dyDescent="0.2">
      <c r="A45" s="40">
        <f t="shared" si="1"/>
        <v>44</v>
      </c>
      <c r="B45" s="94">
        <f t="shared" si="32"/>
        <v>11</v>
      </c>
      <c r="C45" s="91" t="s">
        <v>617</v>
      </c>
      <c r="D45" s="95">
        <v>43904</v>
      </c>
      <c r="E45" s="90"/>
      <c r="F45" s="91" t="s">
        <v>624</v>
      </c>
      <c r="G45" s="90">
        <v>2</v>
      </c>
      <c r="H45" s="91">
        <v>1</v>
      </c>
      <c r="I45" s="172">
        <f t="shared" si="33"/>
        <v>1</v>
      </c>
      <c r="J45" s="172"/>
      <c r="K45" s="172"/>
      <c r="L45" s="90" t="str">
        <f t="shared" si="34"/>
        <v>S</v>
      </c>
      <c r="M45" s="90" t="s">
        <v>625</v>
      </c>
    </row>
    <row r="155" ht="12.75" customHeight="1" x14ac:dyDescent="0.2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U45"/>
  <sheetViews>
    <sheetView topLeftCell="A36" zoomScale="145" zoomScaleNormal="145" workbookViewId="0">
      <selection activeCell="P47" sqref="P47"/>
    </sheetView>
  </sheetViews>
  <sheetFormatPr baseColWidth="10" defaultColWidth="8" defaultRowHeight="12.75" x14ac:dyDescent="0.25"/>
  <cols>
    <col min="1" max="1" width="4.140625" style="29" bestFit="1" customWidth="1"/>
    <col min="2" max="2" width="8.5703125" style="29" bestFit="1" customWidth="1"/>
    <col min="3" max="3" width="10.5703125" style="29" bestFit="1" customWidth="1"/>
    <col min="4" max="4" width="6.7109375" style="29" bestFit="1" customWidth="1"/>
    <col min="5" max="5" width="8.5703125" style="29" bestFit="1" customWidth="1"/>
    <col min="6" max="14" width="3.28515625" style="29" bestFit="1" customWidth="1"/>
    <col min="15" max="15" width="8.5703125" style="29" bestFit="1" customWidth="1"/>
    <col min="16" max="16" width="7.85546875" style="29" bestFit="1" customWidth="1"/>
    <col min="17" max="17" width="6.28515625" style="29" bestFit="1" customWidth="1"/>
    <col min="18" max="18" width="7.5703125" style="29" bestFit="1" customWidth="1"/>
    <col min="19" max="16384" width="8" style="29"/>
  </cols>
  <sheetData>
    <row r="1" spans="1:18" ht="13.5" thickBot="1" x14ac:dyDescent="0.3">
      <c r="A1" s="41" t="s">
        <v>607</v>
      </c>
      <c r="B1" s="41" t="s">
        <v>608</v>
      </c>
      <c r="C1" s="41" t="s">
        <v>19</v>
      </c>
      <c r="D1" s="41" t="s">
        <v>609</v>
      </c>
      <c r="E1" s="41" t="s">
        <v>2</v>
      </c>
      <c r="F1" s="41" t="s">
        <v>22</v>
      </c>
      <c r="G1" s="42" t="s">
        <v>23</v>
      </c>
      <c r="H1" s="42" t="s">
        <v>24</v>
      </c>
      <c r="I1" s="42" t="s">
        <v>25</v>
      </c>
      <c r="J1" s="42" t="s">
        <v>26</v>
      </c>
      <c r="K1" s="42" t="s">
        <v>27</v>
      </c>
      <c r="L1" s="42" t="s">
        <v>610</v>
      </c>
      <c r="M1" s="42" t="s">
        <v>611</v>
      </c>
      <c r="N1" s="41" t="s">
        <v>612</v>
      </c>
      <c r="O1" s="41" t="s">
        <v>613</v>
      </c>
      <c r="P1" s="42" t="s">
        <v>614</v>
      </c>
      <c r="Q1" s="42" t="s">
        <v>615</v>
      </c>
      <c r="R1" s="42" t="s">
        <v>616</v>
      </c>
    </row>
    <row r="2" spans="1:18" s="39" customFormat="1" x14ac:dyDescent="0.2">
      <c r="A2" s="85">
        <v>1</v>
      </c>
      <c r="B2" s="124">
        <v>1</v>
      </c>
      <c r="C2" s="125">
        <v>43832</v>
      </c>
      <c r="D2" s="125" t="s">
        <v>617</v>
      </c>
      <c r="E2" s="127">
        <f>WEEKNUM(Tabla16[[#This Row],[Fecha]],21)</f>
        <v>1</v>
      </c>
      <c r="F2" s="163">
        <v>5</v>
      </c>
      <c r="G2" s="163">
        <v>26</v>
      </c>
      <c r="H2" s="163">
        <v>27</v>
      </c>
      <c r="I2" s="163">
        <v>30</v>
      </c>
      <c r="J2" s="163">
        <v>35</v>
      </c>
      <c r="K2" s="164">
        <v>46</v>
      </c>
      <c r="L2" s="85"/>
      <c r="M2" s="85"/>
      <c r="N2" s="85"/>
      <c r="O2" s="85">
        <v>1</v>
      </c>
      <c r="P2" s="85" t="s">
        <v>618</v>
      </c>
      <c r="Q2" s="86">
        <v>1</v>
      </c>
      <c r="R2" s="86"/>
    </row>
    <row r="3" spans="1:18" s="39" customFormat="1" x14ac:dyDescent="0.2">
      <c r="A3" s="85">
        <f t="shared" ref="A3:B3" si="0">+A2+1</f>
        <v>2</v>
      </c>
      <c r="B3" s="124">
        <f t="shared" si="0"/>
        <v>2</v>
      </c>
      <c r="C3" s="125">
        <v>43832</v>
      </c>
      <c r="D3" s="125" t="s">
        <v>617</v>
      </c>
      <c r="E3" s="127">
        <f>WEEKNUM(Tabla16[[#This Row],[Fecha]],21)</f>
        <v>1</v>
      </c>
      <c r="F3" s="137">
        <v>2</v>
      </c>
      <c r="G3" s="137">
        <v>5</v>
      </c>
      <c r="H3" s="137">
        <v>10</v>
      </c>
      <c r="I3" s="137">
        <v>21</v>
      </c>
      <c r="J3" s="137">
        <v>24</v>
      </c>
      <c r="K3" s="137">
        <v>37</v>
      </c>
      <c r="L3" s="85"/>
      <c r="M3" s="85"/>
      <c r="N3" s="85"/>
      <c r="O3" s="85">
        <v>0</v>
      </c>
      <c r="P3" s="85" t="s">
        <v>619</v>
      </c>
      <c r="Q3" s="86">
        <v>1</v>
      </c>
      <c r="R3" s="86"/>
    </row>
    <row r="4" spans="1:18" s="39" customFormat="1" x14ac:dyDescent="0.2">
      <c r="A4" s="85">
        <f t="shared" ref="A4:B4" si="1">+A3+1</f>
        <v>3</v>
      </c>
      <c r="B4" s="124">
        <f t="shared" si="1"/>
        <v>3</v>
      </c>
      <c r="C4" s="125">
        <v>43834</v>
      </c>
      <c r="D4" s="125" t="s">
        <v>617</v>
      </c>
      <c r="E4" s="127">
        <f>WEEKNUM(Tabla16[[#This Row],[Fecha]],21)</f>
        <v>1</v>
      </c>
      <c r="F4" s="85">
        <v>3</v>
      </c>
      <c r="G4" s="85">
        <v>10</v>
      </c>
      <c r="H4" s="85">
        <v>26</v>
      </c>
      <c r="I4" s="85">
        <v>37</v>
      </c>
      <c r="J4" s="85">
        <v>42</v>
      </c>
      <c r="K4" s="85">
        <v>49</v>
      </c>
      <c r="L4" s="85"/>
      <c r="M4" s="85"/>
      <c r="N4" s="85"/>
      <c r="O4" s="85">
        <v>0</v>
      </c>
      <c r="P4" s="85" t="s">
        <v>619</v>
      </c>
      <c r="Q4" s="86">
        <v>1</v>
      </c>
      <c r="R4" s="86"/>
    </row>
    <row r="5" spans="1:18" s="39" customFormat="1" x14ac:dyDescent="0.2">
      <c r="A5" s="85">
        <f t="shared" ref="A5:B5" si="2">+A4+1</f>
        <v>4</v>
      </c>
      <c r="B5" s="124">
        <f t="shared" si="2"/>
        <v>4</v>
      </c>
      <c r="C5" s="125">
        <v>43834</v>
      </c>
      <c r="D5" s="125" t="s">
        <v>617</v>
      </c>
      <c r="E5" s="127">
        <f>WEEKNUM(Tabla16[[#This Row],[Fecha]],21)</f>
        <v>1</v>
      </c>
      <c r="F5" s="164">
        <v>2</v>
      </c>
      <c r="G5" s="163">
        <v>12</v>
      </c>
      <c r="H5" s="163">
        <v>19</v>
      </c>
      <c r="I5" s="163">
        <v>32</v>
      </c>
      <c r="J5" s="163">
        <v>42</v>
      </c>
      <c r="K5" s="163">
        <v>46</v>
      </c>
      <c r="L5" s="85"/>
      <c r="M5" s="85"/>
      <c r="N5" s="85"/>
      <c r="O5" s="85">
        <v>1</v>
      </c>
      <c r="P5" s="85" t="s">
        <v>618</v>
      </c>
      <c r="Q5" s="86">
        <v>1</v>
      </c>
      <c r="R5" s="86"/>
    </row>
    <row r="6" spans="1:18" s="39" customFormat="1" x14ac:dyDescent="0.2">
      <c r="A6" s="85">
        <f t="shared" ref="A6:B6" si="3">+A5+1</f>
        <v>5</v>
      </c>
      <c r="B6" s="124">
        <f t="shared" si="3"/>
        <v>5</v>
      </c>
      <c r="C6" s="125">
        <v>43839</v>
      </c>
      <c r="D6" s="125" t="s">
        <v>617</v>
      </c>
      <c r="E6" s="127">
        <f>WEEKNUM(Tabla16[[#This Row],[Fecha]],21)</f>
        <v>2</v>
      </c>
      <c r="F6" s="85">
        <v>2</v>
      </c>
      <c r="G6" s="85">
        <v>12</v>
      </c>
      <c r="H6" s="170">
        <v>19</v>
      </c>
      <c r="I6" s="85">
        <v>30</v>
      </c>
      <c r="J6" s="85">
        <v>40</v>
      </c>
      <c r="K6" s="85">
        <v>47</v>
      </c>
      <c r="L6" s="85"/>
      <c r="M6" s="85"/>
      <c r="N6" s="85"/>
      <c r="O6" s="85">
        <v>1</v>
      </c>
      <c r="P6" s="85" t="s">
        <v>618</v>
      </c>
      <c r="Q6" s="86">
        <v>1</v>
      </c>
      <c r="R6" s="86"/>
    </row>
    <row r="7" spans="1:18" s="39" customFormat="1" x14ac:dyDescent="0.2">
      <c r="A7" s="85">
        <f t="shared" ref="A7:B7" si="4">+A6+1</f>
        <v>6</v>
      </c>
      <c r="B7" s="124">
        <f t="shared" si="4"/>
        <v>6</v>
      </c>
      <c r="C7" s="125">
        <v>43839</v>
      </c>
      <c r="D7" s="125" t="s">
        <v>617</v>
      </c>
      <c r="E7" s="127">
        <f>WEEKNUM(Tabla16[[#This Row],[Fecha]],21)</f>
        <v>2</v>
      </c>
      <c r="F7" s="85">
        <v>10</v>
      </c>
      <c r="G7" s="85">
        <v>16</v>
      </c>
      <c r="H7" s="85">
        <v>21</v>
      </c>
      <c r="I7" s="85">
        <v>26</v>
      </c>
      <c r="J7" s="85">
        <v>35</v>
      </c>
      <c r="K7" s="85">
        <v>37</v>
      </c>
      <c r="L7" s="85"/>
      <c r="M7" s="85"/>
      <c r="N7" s="85"/>
      <c r="O7" s="85">
        <v>0</v>
      </c>
      <c r="P7" s="85" t="s">
        <v>619</v>
      </c>
      <c r="Q7" s="86">
        <v>1</v>
      </c>
      <c r="R7" s="86"/>
    </row>
    <row r="8" spans="1:18" s="39" customFormat="1" x14ac:dyDescent="0.2">
      <c r="A8" s="85">
        <f t="shared" ref="A8:B8" si="5">+A7+1</f>
        <v>7</v>
      </c>
      <c r="B8" s="124">
        <f t="shared" si="5"/>
        <v>7</v>
      </c>
      <c r="C8" s="125">
        <v>43841</v>
      </c>
      <c r="D8" s="125" t="s">
        <v>617</v>
      </c>
      <c r="E8" s="127">
        <f>WEEKNUM(Tabla16[[#This Row],[Fecha]],21)</f>
        <v>2</v>
      </c>
      <c r="F8" s="85">
        <v>9</v>
      </c>
      <c r="G8" s="85">
        <v>11</v>
      </c>
      <c r="H8" s="170">
        <v>14</v>
      </c>
      <c r="I8" s="85">
        <v>31</v>
      </c>
      <c r="J8" s="171">
        <v>39</v>
      </c>
      <c r="K8" s="85">
        <v>47</v>
      </c>
      <c r="L8" s="85"/>
      <c r="M8" s="85"/>
      <c r="N8" s="85"/>
      <c r="O8" s="85">
        <v>2</v>
      </c>
      <c r="P8" s="85" t="s">
        <v>618</v>
      </c>
      <c r="Q8" s="86">
        <v>1</v>
      </c>
      <c r="R8" s="86"/>
    </row>
    <row r="9" spans="1:18" s="39" customFormat="1" x14ac:dyDescent="0.2">
      <c r="A9" s="85">
        <f t="shared" ref="A9:B9" si="6">+A8+1</f>
        <v>8</v>
      </c>
      <c r="B9" s="124">
        <f t="shared" si="6"/>
        <v>8</v>
      </c>
      <c r="C9" s="125">
        <v>43841</v>
      </c>
      <c r="D9" s="125" t="s">
        <v>617</v>
      </c>
      <c r="E9" s="127">
        <f>WEEKNUM(Tabla16[[#This Row],[Fecha]],21)</f>
        <v>2</v>
      </c>
      <c r="F9" s="85">
        <v>2</v>
      </c>
      <c r="G9" s="85">
        <v>16</v>
      </c>
      <c r="H9" s="85">
        <v>21</v>
      </c>
      <c r="I9" s="85">
        <v>26</v>
      </c>
      <c r="J9" s="85">
        <v>37</v>
      </c>
      <c r="K9" s="85">
        <v>45</v>
      </c>
      <c r="L9" s="85"/>
      <c r="M9" s="85"/>
      <c r="N9" s="85"/>
      <c r="O9" s="85">
        <v>0</v>
      </c>
      <c r="P9" s="85" t="s">
        <v>619</v>
      </c>
      <c r="Q9" s="86">
        <v>1</v>
      </c>
      <c r="R9" s="86"/>
    </row>
    <row r="10" spans="1:18" s="39" customFormat="1" x14ac:dyDescent="0.2">
      <c r="A10" s="85">
        <f t="shared" ref="A10:B10" si="7">+A9+1</f>
        <v>9</v>
      </c>
      <c r="B10" s="124">
        <f t="shared" si="7"/>
        <v>9</v>
      </c>
      <c r="C10" s="125">
        <v>43846</v>
      </c>
      <c r="D10" s="125" t="s">
        <v>617</v>
      </c>
      <c r="E10" s="127">
        <f>WEEKNUM(Tabla16[[#This Row],[Fecha]],21)</f>
        <v>3</v>
      </c>
      <c r="F10" s="85">
        <v>10</v>
      </c>
      <c r="G10" s="171">
        <v>11</v>
      </c>
      <c r="H10" s="85">
        <v>31</v>
      </c>
      <c r="I10" s="85">
        <v>42</v>
      </c>
      <c r="J10" s="85">
        <v>44</v>
      </c>
      <c r="K10" s="85">
        <v>47</v>
      </c>
      <c r="L10" s="85"/>
      <c r="M10" s="85"/>
      <c r="N10" s="85"/>
      <c r="O10" s="85">
        <v>1</v>
      </c>
      <c r="P10" s="85" t="s">
        <v>618</v>
      </c>
      <c r="Q10" s="86">
        <v>1</v>
      </c>
      <c r="R10" s="86"/>
    </row>
    <row r="11" spans="1:18" s="39" customFormat="1" x14ac:dyDescent="0.2">
      <c r="A11" s="85">
        <f t="shared" ref="A11:B11" si="8">+A10+1</f>
        <v>10</v>
      </c>
      <c r="B11" s="124">
        <f t="shared" si="8"/>
        <v>10</v>
      </c>
      <c r="C11" s="125">
        <v>43846</v>
      </c>
      <c r="D11" s="125" t="s">
        <v>617</v>
      </c>
      <c r="E11" s="127">
        <f>WEEKNUM(Tabla16[[#This Row],[Fecha]],21)</f>
        <v>3</v>
      </c>
      <c r="F11" s="85">
        <v>5</v>
      </c>
      <c r="G11" s="170">
        <v>18</v>
      </c>
      <c r="H11" s="85">
        <v>26</v>
      </c>
      <c r="I11" s="85">
        <v>37</v>
      </c>
      <c r="J11" s="85">
        <v>43</v>
      </c>
      <c r="K11" s="85">
        <v>49</v>
      </c>
      <c r="L11" s="85"/>
      <c r="M11" s="85"/>
      <c r="N11" s="85"/>
      <c r="O11" s="85">
        <v>1</v>
      </c>
      <c r="P11" s="85" t="s">
        <v>619</v>
      </c>
      <c r="Q11" s="86">
        <v>1</v>
      </c>
      <c r="R11" s="86"/>
    </row>
    <row r="12" spans="1:18" s="39" customFormat="1" x14ac:dyDescent="0.2">
      <c r="A12" s="85">
        <f t="shared" ref="A12:B12" si="9">+A11+1</f>
        <v>11</v>
      </c>
      <c r="B12" s="124">
        <f t="shared" si="9"/>
        <v>11</v>
      </c>
      <c r="C12" s="125">
        <v>43848</v>
      </c>
      <c r="D12" s="125" t="s">
        <v>617</v>
      </c>
      <c r="E12" s="127">
        <f>WEEKNUM(Tabla16[[#This Row],[Fecha]],21)</f>
        <v>3</v>
      </c>
      <c r="F12" s="163">
        <v>11</v>
      </c>
      <c r="G12" s="163">
        <v>21</v>
      </c>
      <c r="H12" s="163">
        <v>39</v>
      </c>
      <c r="I12" s="173">
        <v>44</v>
      </c>
      <c r="J12" s="163">
        <v>48</v>
      </c>
      <c r="K12" s="163">
        <v>49</v>
      </c>
      <c r="L12" s="85"/>
      <c r="M12" s="85"/>
      <c r="N12" s="85"/>
      <c r="O12" s="85">
        <v>1</v>
      </c>
      <c r="P12" s="85" t="s">
        <v>618</v>
      </c>
      <c r="Q12" s="86">
        <v>1</v>
      </c>
      <c r="R12" s="86"/>
    </row>
    <row r="13" spans="1:18" s="39" customFormat="1" x14ac:dyDescent="0.2">
      <c r="A13" s="85">
        <f t="shared" ref="A13:B13" si="10">+A12+1</f>
        <v>12</v>
      </c>
      <c r="B13" s="124">
        <f t="shared" si="10"/>
        <v>12</v>
      </c>
      <c r="C13" s="125">
        <v>43848</v>
      </c>
      <c r="D13" s="125" t="s">
        <v>617</v>
      </c>
      <c r="E13" s="127">
        <f>WEEKNUM(Tabla16[[#This Row],[Fecha]],21)</f>
        <v>3</v>
      </c>
      <c r="F13" s="85">
        <v>2</v>
      </c>
      <c r="G13" s="85">
        <v>3</v>
      </c>
      <c r="H13" s="85">
        <v>10</v>
      </c>
      <c r="I13" s="85">
        <v>26</v>
      </c>
      <c r="J13" s="85">
        <v>36</v>
      </c>
      <c r="K13" s="170">
        <v>37</v>
      </c>
      <c r="L13" s="85"/>
      <c r="M13" s="85"/>
      <c r="N13" s="85"/>
      <c r="O13" s="85">
        <v>1</v>
      </c>
      <c r="P13" s="85" t="s">
        <v>619</v>
      </c>
      <c r="Q13" s="86">
        <v>1</v>
      </c>
      <c r="R13" s="86"/>
    </row>
    <row r="14" spans="1:18" s="39" customFormat="1" x14ac:dyDescent="0.2">
      <c r="A14" s="85">
        <f t="shared" ref="A14:B14" si="11">+A13+1</f>
        <v>13</v>
      </c>
      <c r="B14" s="124">
        <f t="shared" si="11"/>
        <v>13</v>
      </c>
      <c r="C14" s="125">
        <v>43853</v>
      </c>
      <c r="D14" s="125" t="s">
        <v>617</v>
      </c>
      <c r="E14" s="176">
        <f>WEEKNUM(Tabla16[[#This Row],[Fecha]],21)</f>
        <v>4</v>
      </c>
      <c r="F14" s="177">
        <v>10</v>
      </c>
      <c r="G14" s="177">
        <v>25</v>
      </c>
      <c r="H14" s="177">
        <v>26</v>
      </c>
      <c r="I14" s="178">
        <v>40</v>
      </c>
      <c r="J14" s="177">
        <v>42</v>
      </c>
      <c r="K14" s="177">
        <v>49</v>
      </c>
      <c r="L14" s="85"/>
      <c r="M14" s="85"/>
      <c r="N14" s="85"/>
      <c r="O14" s="85">
        <v>1</v>
      </c>
      <c r="P14" s="85" t="s">
        <v>619</v>
      </c>
      <c r="Q14" s="86">
        <v>1</v>
      </c>
      <c r="R14" s="86"/>
    </row>
    <row r="15" spans="1:18" s="39" customFormat="1" x14ac:dyDescent="0.2">
      <c r="A15" s="85">
        <f t="shared" ref="A15:B15" si="12">+A14+1</f>
        <v>14</v>
      </c>
      <c r="B15" s="124">
        <f t="shared" si="12"/>
        <v>14</v>
      </c>
      <c r="C15" s="125">
        <v>43853</v>
      </c>
      <c r="D15" s="125" t="s">
        <v>617</v>
      </c>
      <c r="E15" s="176">
        <f>WEEKNUM(Tabla16[[#This Row],[Fecha]],21)</f>
        <v>4</v>
      </c>
      <c r="F15" s="177">
        <v>7</v>
      </c>
      <c r="G15" s="177">
        <v>12</v>
      </c>
      <c r="H15" s="177">
        <v>14</v>
      </c>
      <c r="I15" s="178">
        <v>17</v>
      </c>
      <c r="J15" s="177">
        <v>43</v>
      </c>
      <c r="K15" s="177">
        <v>47</v>
      </c>
      <c r="L15" s="85"/>
      <c r="M15" s="85"/>
      <c r="N15" s="85"/>
      <c r="O15" s="85">
        <v>1</v>
      </c>
      <c r="P15" s="85" t="s">
        <v>618</v>
      </c>
      <c r="Q15" s="86">
        <v>1</v>
      </c>
      <c r="R15" s="86"/>
    </row>
    <row r="16" spans="1:18" s="39" customFormat="1" x14ac:dyDescent="0.2">
      <c r="A16" s="85">
        <f t="shared" ref="A16:B16" si="13">+A15+1</f>
        <v>15</v>
      </c>
      <c r="B16" s="124">
        <f t="shared" si="13"/>
        <v>15</v>
      </c>
      <c r="C16" s="125">
        <v>43855</v>
      </c>
      <c r="D16" s="125" t="s">
        <v>617</v>
      </c>
      <c r="E16" s="176">
        <f>WEEKNUM(Tabla16[[#This Row],[Fecha]],21)</f>
        <v>4</v>
      </c>
      <c r="F16" s="163">
        <v>2</v>
      </c>
      <c r="G16" s="163">
        <v>10</v>
      </c>
      <c r="H16" s="173">
        <v>14</v>
      </c>
      <c r="I16" s="163">
        <v>15</v>
      </c>
      <c r="J16" s="163">
        <v>18</v>
      </c>
      <c r="K16" s="163">
        <v>45</v>
      </c>
      <c r="L16" s="85"/>
      <c r="M16" s="85"/>
      <c r="N16" s="85"/>
      <c r="O16" s="85">
        <v>1</v>
      </c>
      <c r="P16" s="85" t="s">
        <v>618</v>
      </c>
      <c r="Q16" s="86">
        <v>1</v>
      </c>
      <c r="R16" s="86"/>
    </row>
    <row r="17" spans="1:21" s="39" customFormat="1" x14ac:dyDescent="0.2">
      <c r="A17" s="85">
        <f t="shared" ref="A17:B17" si="14">+A16+1</f>
        <v>16</v>
      </c>
      <c r="B17" s="124">
        <f t="shared" si="14"/>
        <v>16</v>
      </c>
      <c r="C17" s="125">
        <v>43855</v>
      </c>
      <c r="D17" s="125" t="s">
        <v>617</v>
      </c>
      <c r="E17" s="176">
        <f>WEEKNUM(Tabla16[[#This Row],[Fecha]],21)</f>
        <v>4</v>
      </c>
      <c r="F17" s="163">
        <v>1</v>
      </c>
      <c r="G17" s="163">
        <v>10</v>
      </c>
      <c r="H17" s="163">
        <v>25</v>
      </c>
      <c r="I17" s="163">
        <v>26</v>
      </c>
      <c r="J17" s="163">
        <v>37</v>
      </c>
      <c r="K17" s="163">
        <v>43</v>
      </c>
      <c r="L17" s="85"/>
      <c r="M17" s="85"/>
      <c r="N17" s="85"/>
      <c r="O17" s="85">
        <v>0</v>
      </c>
      <c r="P17" s="85" t="s">
        <v>619</v>
      </c>
      <c r="Q17" s="86">
        <v>1</v>
      </c>
      <c r="R17" s="86"/>
    </row>
    <row r="18" spans="1:21" s="39" customFormat="1" x14ac:dyDescent="0.2">
      <c r="A18" s="85">
        <f t="shared" ref="A18:B18" si="15">+A17+1</f>
        <v>17</v>
      </c>
      <c r="B18" s="124">
        <f t="shared" si="15"/>
        <v>17</v>
      </c>
      <c r="C18" s="125">
        <v>43860</v>
      </c>
      <c r="D18" s="125" t="s">
        <v>617</v>
      </c>
      <c r="E18" s="176">
        <f>WEEKNUM(Tabla16[[#This Row],[Fecha]],21)</f>
        <v>5</v>
      </c>
      <c r="F18" s="177">
        <v>10</v>
      </c>
      <c r="G18" s="177">
        <v>18</v>
      </c>
      <c r="H18" s="177">
        <v>23</v>
      </c>
      <c r="I18" s="178">
        <v>29</v>
      </c>
      <c r="J18" s="177">
        <v>44</v>
      </c>
      <c r="K18" s="177">
        <v>48</v>
      </c>
      <c r="L18" s="85"/>
      <c r="M18" s="85"/>
      <c r="N18" s="85"/>
      <c r="O18" s="85">
        <v>1</v>
      </c>
      <c r="P18" s="85" t="s">
        <v>618</v>
      </c>
      <c r="Q18" s="86">
        <v>1</v>
      </c>
      <c r="R18" s="86"/>
    </row>
    <row r="19" spans="1:21" s="39" customFormat="1" x14ac:dyDescent="0.2">
      <c r="A19" s="85">
        <f t="shared" ref="A19:B21" si="16">+A18+1</f>
        <v>18</v>
      </c>
      <c r="B19" s="124">
        <f t="shared" si="16"/>
        <v>18</v>
      </c>
      <c r="C19" s="125">
        <v>43860</v>
      </c>
      <c r="D19" s="125" t="s">
        <v>617</v>
      </c>
      <c r="E19" s="176">
        <f>WEEKNUM(Tabla16[[#This Row],[Fecha]],21)</f>
        <v>5</v>
      </c>
      <c r="F19" s="177">
        <v>9</v>
      </c>
      <c r="G19" s="177">
        <v>10</v>
      </c>
      <c r="H19" s="177">
        <v>26</v>
      </c>
      <c r="I19" s="177">
        <v>36</v>
      </c>
      <c r="J19" s="177">
        <v>40</v>
      </c>
      <c r="K19" s="177">
        <v>47</v>
      </c>
      <c r="L19" s="85"/>
      <c r="M19" s="85"/>
      <c r="N19" s="85"/>
      <c r="O19" s="85">
        <v>0</v>
      </c>
      <c r="P19" s="85" t="s">
        <v>619</v>
      </c>
      <c r="Q19" s="86">
        <v>1</v>
      </c>
      <c r="R19" s="86"/>
    </row>
    <row r="20" spans="1:21" s="39" customFormat="1" x14ac:dyDescent="0.2">
      <c r="A20" s="85">
        <f t="shared" si="16"/>
        <v>19</v>
      </c>
      <c r="B20" s="124">
        <f t="shared" si="16"/>
        <v>19</v>
      </c>
      <c r="C20" s="125">
        <v>43862</v>
      </c>
      <c r="D20" s="125" t="s">
        <v>617</v>
      </c>
      <c r="E20" s="176">
        <f>WEEKNUM(Tabla16[[#This Row],[Fecha]],21)</f>
        <v>5</v>
      </c>
      <c r="F20" s="85">
        <v>2</v>
      </c>
      <c r="G20" s="85">
        <v>10</v>
      </c>
      <c r="H20" s="85">
        <v>16</v>
      </c>
      <c r="I20" s="85">
        <v>26</v>
      </c>
      <c r="J20" s="170">
        <v>36</v>
      </c>
      <c r="K20" s="85">
        <v>46</v>
      </c>
      <c r="L20" s="85"/>
      <c r="M20" s="85"/>
      <c r="N20" s="85"/>
      <c r="O20" s="85">
        <v>1</v>
      </c>
      <c r="P20" s="85" t="s">
        <v>619</v>
      </c>
      <c r="Q20" s="86">
        <v>1</v>
      </c>
      <c r="R20" s="86"/>
    </row>
    <row r="21" spans="1:21" s="39" customFormat="1" x14ac:dyDescent="0.2">
      <c r="A21" s="85">
        <f t="shared" si="16"/>
        <v>20</v>
      </c>
      <c r="B21" s="124">
        <f t="shared" si="16"/>
        <v>20</v>
      </c>
      <c r="C21" s="125">
        <v>43862</v>
      </c>
      <c r="D21" s="125" t="s">
        <v>617</v>
      </c>
      <c r="E21" s="176">
        <f>WEEKNUM(Tabla16[[#This Row],[Fecha]],21)</f>
        <v>5</v>
      </c>
      <c r="F21" s="163">
        <v>2</v>
      </c>
      <c r="G21" s="163">
        <v>17</v>
      </c>
      <c r="H21" s="163">
        <v>19</v>
      </c>
      <c r="I21" s="163">
        <v>29</v>
      </c>
      <c r="J21" s="163">
        <v>44</v>
      </c>
      <c r="K21" s="163">
        <v>46</v>
      </c>
      <c r="L21" s="85"/>
      <c r="M21" s="85"/>
      <c r="N21" s="85"/>
      <c r="O21" s="85">
        <v>0</v>
      </c>
      <c r="P21" s="85" t="s">
        <v>618</v>
      </c>
      <c r="Q21" s="86">
        <v>1</v>
      </c>
      <c r="R21" s="86"/>
    </row>
    <row r="22" spans="1:21" s="39" customFormat="1" x14ac:dyDescent="0.2">
      <c r="A22" s="85">
        <f t="shared" ref="A22:B22" si="17">+A21+1</f>
        <v>21</v>
      </c>
      <c r="B22" s="124">
        <f t="shared" si="17"/>
        <v>21</v>
      </c>
      <c r="C22" s="125">
        <v>43867</v>
      </c>
      <c r="D22" s="125" t="s">
        <v>617</v>
      </c>
      <c r="E22" s="176">
        <f>WEEKNUM(Tabla16[[#This Row],[Fecha]],21)</f>
        <v>6</v>
      </c>
      <c r="F22" s="85">
        <v>2</v>
      </c>
      <c r="G22" s="85">
        <v>12</v>
      </c>
      <c r="H22" s="85">
        <v>15</v>
      </c>
      <c r="I22" s="170">
        <v>28</v>
      </c>
      <c r="J22" s="85">
        <v>39</v>
      </c>
      <c r="K22" s="85">
        <v>44</v>
      </c>
      <c r="L22" s="85"/>
      <c r="M22" s="85"/>
      <c r="N22" s="85"/>
      <c r="O22" s="85">
        <v>1</v>
      </c>
      <c r="P22" s="85" t="s">
        <v>618</v>
      </c>
      <c r="Q22" s="86">
        <v>1</v>
      </c>
      <c r="R22" s="86"/>
    </row>
    <row r="23" spans="1:21" s="39" customFormat="1" x14ac:dyDescent="0.2">
      <c r="A23" s="85">
        <f t="shared" ref="A23:B25" si="18">+A22+1</f>
        <v>22</v>
      </c>
      <c r="B23" s="124">
        <f t="shared" si="18"/>
        <v>22</v>
      </c>
      <c r="C23" s="125">
        <v>43867</v>
      </c>
      <c r="D23" s="125" t="s">
        <v>617</v>
      </c>
      <c r="E23" s="176">
        <f>WEEKNUM(Tabla16[[#This Row],[Fecha]],21)</f>
        <v>6</v>
      </c>
      <c r="F23" s="85">
        <v>3</v>
      </c>
      <c r="G23" s="85">
        <v>26</v>
      </c>
      <c r="H23" s="85">
        <v>27</v>
      </c>
      <c r="I23" s="85">
        <v>30</v>
      </c>
      <c r="J23" s="85">
        <v>43</v>
      </c>
      <c r="K23" s="85">
        <v>46</v>
      </c>
      <c r="L23" s="85"/>
      <c r="M23" s="85"/>
      <c r="N23" s="85"/>
      <c r="O23" s="85">
        <v>0</v>
      </c>
      <c r="P23" s="85" t="s">
        <v>619</v>
      </c>
      <c r="Q23" s="86">
        <v>1</v>
      </c>
      <c r="R23" s="86"/>
      <c r="S23" s="29"/>
      <c r="T23" s="29"/>
      <c r="U23" s="29"/>
    </row>
    <row r="24" spans="1:21" s="39" customFormat="1" x14ac:dyDescent="0.2">
      <c r="A24" s="85">
        <f t="shared" si="18"/>
        <v>23</v>
      </c>
      <c r="B24" s="124">
        <f t="shared" si="18"/>
        <v>23</v>
      </c>
      <c r="C24" s="125">
        <v>43869</v>
      </c>
      <c r="D24" s="125" t="s">
        <v>617</v>
      </c>
      <c r="E24" s="176">
        <f>WEEKNUM(Tabla16[[#This Row],[Fecha]],21)</f>
        <v>6</v>
      </c>
      <c r="F24" s="85">
        <v>10</v>
      </c>
      <c r="G24" s="85">
        <v>19</v>
      </c>
      <c r="H24" s="85">
        <v>21</v>
      </c>
      <c r="I24" s="85">
        <v>29</v>
      </c>
      <c r="J24" s="85">
        <v>37</v>
      </c>
      <c r="K24" s="85">
        <v>38</v>
      </c>
      <c r="L24" s="85"/>
      <c r="M24" s="85"/>
      <c r="N24" s="85"/>
      <c r="O24" s="85">
        <v>0</v>
      </c>
      <c r="P24" s="85" t="s">
        <v>618</v>
      </c>
      <c r="Q24" s="86">
        <v>1</v>
      </c>
      <c r="R24" s="86"/>
      <c r="S24" s="29"/>
      <c r="T24" s="29"/>
      <c r="U24" s="29"/>
    </row>
    <row r="25" spans="1:21" s="39" customFormat="1" x14ac:dyDescent="0.2">
      <c r="A25" s="85">
        <f t="shared" si="18"/>
        <v>24</v>
      </c>
      <c r="B25" s="124">
        <f t="shared" si="18"/>
        <v>24</v>
      </c>
      <c r="C25" s="125">
        <v>43869</v>
      </c>
      <c r="D25" s="125" t="s">
        <v>617</v>
      </c>
      <c r="E25" s="176">
        <f>WEEKNUM(Tabla16[[#This Row],[Fecha]],21)</f>
        <v>6</v>
      </c>
      <c r="F25" s="85">
        <v>10</v>
      </c>
      <c r="G25" s="85">
        <v>26</v>
      </c>
      <c r="H25" s="85">
        <v>30</v>
      </c>
      <c r="I25" s="85">
        <v>34</v>
      </c>
      <c r="J25" s="85">
        <v>39</v>
      </c>
      <c r="K25" s="170">
        <v>46</v>
      </c>
      <c r="L25" s="85"/>
      <c r="M25" s="85"/>
      <c r="N25" s="85"/>
      <c r="O25" s="85">
        <v>1</v>
      </c>
      <c r="P25" s="85" t="s">
        <v>619</v>
      </c>
      <c r="Q25" s="86">
        <v>1</v>
      </c>
      <c r="R25" s="86"/>
      <c r="S25" s="29"/>
      <c r="T25" s="29"/>
      <c r="U25" s="29"/>
    </row>
    <row r="26" spans="1:21" s="39" customFormat="1" x14ac:dyDescent="0.2">
      <c r="A26" s="85">
        <f t="shared" ref="A26:B26" si="19">+A25+1</f>
        <v>25</v>
      </c>
      <c r="B26" s="124">
        <f t="shared" si="19"/>
        <v>25</v>
      </c>
      <c r="C26" s="125">
        <v>43874</v>
      </c>
      <c r="D26" s="125" t="s">
        <v>617</v>
      </c>
      <c r="E26" s="176">
        <f>WEEKNUM(Tabla16[[#This Row],[Fecha]],21)</f>
        <v>7</v>
      </c>
      <c r="F26" s="170">
        <v>4</v>
      </c>
      <c r="G26" s="85">
        <v>19</v>
      </c>
      <c r="H26" s="170">
        <v>20</v>
      </c>
      <c r="I26" s="85">
        <v>33</v>
      </c>
      <c r="J26" s="85">
        <v>41</v>
      </c>
      <c r="K26" s="85">
        <v>49</v>
      </c>
      <c r="L26" s="85"/>
      <c r="M26" s="85"/>
      <c r="N26" s="85"/>
      <c r="O26" s="85">
        <v>2</v>
      </c>
      <c r="P26" s="85" t="s">
        <v>618</v>
      </c>
      <c r="Q26" s="86">
        <v>1</v>
      </c>
      <c r="R26" s="86"/>
      <c r="S26" s="29"/>
      <c r="T26" s="29"/>
      <c r="U26" s="29"/>
    </row>
    <row r="27" spans="1:21" s="39" customFormat="1" x14ac:dyDescent="0.2">
      <c r="A27" s="85">
        <f t="shared" ref="A27:B27" si="20">+A26+1</f>
        <v>26</v>
      </c>
      <c r="B27" s="124">
        <f t="shared" si="20"/>
        <v>26</v>
      </c>
      <c r="C27" s="125">
        <v>43874</v>
      </c>
      <c r="D27" s="125" t="s">
        <v>617</v>
      </c>
      <c r="E27" s="176">
        <f>WEEKNUM(Tabla16[[#This Row],[Fecha]],21)</f>
        <v>7</v>
      </c>
      <c r="F27" s="85">
        <v>10</v>
      </c>
      <c r="G27" s="85">
        <v>16</v>
      </c>
      <c r="H27" s="85">
        <v>26</v>
      </c>
      <c r="I27" s="85">
        <v>30</v>
      </c>
      <c r="J27" s="170">
        <v>36</v>
      </c>
      <c r="K27" s="85">
        <v>42</v>
      </c>
      <c r="L27" s="85"/>
      <c r="M27" s="85"/>
      <c r="N27" s="85"/>
      <c r="O27" s="85">
        <v>1</v>
      </c>
      <c r="P27" s="85" t="s">
        <v>619</v>
      </c>
      <c r="Q27" s="86">
        <v>1</v>
      </c>
      <c r="R27" s="86"/>
      <c r="S27" s="29"/>
      <c r="T27" s="29"/>
      <c r="U27" s="29"/>
    </row>
    <row r="28" spans="1:21" s="39" customFormat="1" x14ac:dyDescent="0.2">
      <c r="A28" s="85">
        <f t="shared" ref="A28:B28" si="21">+A27+1</f>
        <v>27</v>
      </c>
      <c r="B28" s="124">
        <f t="shared" si="21"/>
        <v>27</v>
      </c>
      <c r="C28" s="125">
        <v>43876</v>
      </c>
      <c r="D28" s="125" t="s">
        <v>617</v>
      </c>
      <c r="E28" s="176">
        <f>WEEKNUM(Tabla16[[#This Row],[Fecha]],21)</f>
        <v>7</v>
      </c>
      <c r="F28" s="85">
        <v>2</v>
      </c>
      <c r="G28" s="85">
        <v>5</v>
      </c>
      <c r="H28" s="85">
        <v>20</v>
      </c>
      <c r="I28" s="85">
        <v>26</v>
      </c>
      <c r="J28" s="85">
        <v>28</v>
      </c>
      <c r="K28" s="170">
        <v>30</v>
      </c>
      <c r="L28" s="85"/>
      <c r="M28" s="85"/>
      <c r="N28" s="85"/>
      <c r="O28" s="85">
        <v>1</v>
      </c>
      <c r="P28" s="85" t="s">
        <v>619</v>
      </c>
      <c r="Q28" s="86">
        <v>1</v>
      </c>
      <c r="R28" s="86"/>
      <c r="S28" s="29"/>
      <c r="T28" s="29"/>
      <c r="U28" s="29"/>
    </row>
    <row r="29" spans="1:21" s="39" customFormat="1" x14ac:dyDescent="0.2">
      <c r="A29" s="85">
        <f t="shared" ref="A29:B29" si="22">+A28+1</f>
        <v>28</v>
      </c>
      <c r="B29" s="124">
        <f t="shared" si="22"/>
        <v>28</v>
      </c>
      <c r="C29" s="125">
        <v>43876</v>
      </c>
      <c r="D29" s="125" t="s">
        <v>617</v>
      </c>
      <c r="E29" s="176">
        <f>WEEKNUM(Tabla16[[#This Row],[Fecha]],21)</f>
        <v>7</v>
      </c>
      <c r="F29" s="163">
        <v>2</v>
      </c>
      <c r="G29" s="163">
        <v>10</v>
      </c>
      <c r="H29" s="163">
        <v>11</v>
      </c>
      <c r="I29" s="163">
        <v>15</v>
      </c>
      <c r="J29" s="163">
        <v>16</v>
      </c>
      <c r="K29" s="164">
        <v>44</v>
      </c>
      <c r="L29" s="85"/>
      <c r="M29" s="85"/>
      <c r="N29" s="85"/>
      <c r="O29" s="85">
        <v>1</v>
      </c>
      <c r="P29" s="85" t="s">
        <v>618</v>
      </c>
      <c r="Q29" s="86">
        <v>1</v>
      </c>
      <c r="R29" s="86"/>
      <c r="S29" s="29"/>
      <c r="T29" s="29"/>
      <c r="U29" s="29"/>
    </row>
    <row r="30" spans="1:21" s="39" customFormat="1" x14ac:dyDescent="0.2">
      <c r="A30" s="85">
        <f t="shared" ref="A30:B30" si="23">+A29+1</f>
        <v>29</v>
      </c>
      <c r="B30" s="124">
        <f t="shared" si="23"/>
        <v>29</v>
      </c>
      <c r="C30" s="125">
        <v>43881</v>
      </c>
      <c r="D30" s="125" t="s">
        <v>617</v>
      </c>
      <c r="E30" s="176">
        <f>WEEKNUM(Tabla16[[#This Row],[Fecha]],21)</f>
        <v>8</v>
      </c>
      <c r="F30" s="190">
        <v>14</v>
      </c>
      <c r="G30" s="192">
        <v>26</v>
      </c>
      <c r="H30" s="190">
        <v>27</v>
      </c>
      <c r="I30" s="190">
        <v>36</v>
      </c>
      <c r="J30" s="190">
        <v>37</v>
      </c>
      <c r="K30" s="190">
        <v>44</v>
      </c>
      <c r="L30" s="85"/>
      <c r="M30" s="85"/>
      <c r="N30" s="85"/>
      <c r="O30" s="85">
        <v>1</v>
      </c>
      <c r="P30" s="85" t="s">
        <v>619</v>
      </c>
      <c r="Q30" s="86">
        <v>1</v>
      </c>
      <c r="R30" s="86"/>
      <c r="S30" s="29"/>
      <c r="T30" s="29"/>
      <c r="U30" s="29"/>
    </row>
    <row r="31" spans="1:21" s="39" customFormat="1" x14ac:dyDescent="0.2">
      <c r="A31" s="85">
        <f t="shared" ref="A31:B31" si="24">+A30+1</f>
        <v>30</v>
      </c>
      <c r="B31" s="124">
        <f t="shared" si="24"/>
        <v>30</v>
      </c>
      <c r="C31" s="125">
        <v>43881</v>
      </c>
      <c r="D31" s="125" t="s">
        <v>617</v>
      </c>
      <c r="E31" s="176">
        <f>WEEKNUM(Tabla16[[#This Row],[Fecha]],21)</f>
        <v>8</v>
      </c>
      <c r="F31" s="163">
        <v>2</v>
      </c>
      <c r="G31" s="163">
        <v>7</v>
      </c>
      <c r="H31" s="163">
        <v>9</v>
      </c>
      <c r="I31" s="163">
        <v>14</v>
      </c>
      <c r="J31" s="163">
        <v>30</v>
      </c>
      <c r="K31" s="163">
        <v>45</v>
      </c>
      <c r="L31" s="85"/>
      <c r="M31" s="85"/>
      <c r="N31" s="85"/>
      <c r="O31" s="85">
        <v>0</v>
      </c>
      <c r="P31" s="85" t="s">
        <v>618</v>
      </c>
      <c r="Q31" s="86">
        <v>1</v>
      </c>
      <c r="R31" s="86"/>
    </row>
    <row r="32" spans="1:21" s="39" customFormat="1" x14ac:dyDescent="0.2">
      <c r="A32" s="85">
        <f t="shared" ref="A32:B32" si="25">+A31+1</f>
        <v>31</v>
      </c>
      <c r="B32" s="124">
        <f t="shared" si="25"/>
        <v>31</v>
      </c>
      <c r="C32" s="125">
        <v>43883</v>
      </c>
      <c r="D32" s="125" t="s">
        <v>617</v>
      </c>
      <c r="E32" s="176">
        <f>WEEKNUM(Tabla16[[#This Row],[Fecha]],21)</f>
        <v>8</v>
      </c>
      <c r="F32" s="85">
        <v>3</v>
      </c>
      <c r="G32" s="85">
        <v>6</v>
      </c>
      <c r="H32" s="85">
        <v>9</v>
      </c>
      <c r="I32" s="85">
        <v>24</v>
      </c>
      <c r="J32" s="85">
        <v>26</v>
      </c>
      <c r="K32" s="85">
        <v>36</v>
      </c>
      <c r="L32" s="85"/>
      <c r="M32" s="85"/>
      <c r="N32" s="85"/>
      <c r="O32" s="85">
        <v>0</v>
      </c>
      <c r="P32" s="85" t="s">
        <v>618</v>
      </c>
      <c r="Q32" s="86">
        <v>1</v>
      </c>
      <c r="R32" s="86"/>
    </row>
    <row r="33" spans="1:18" s="39" customFormat="1" x14ac:dyDescent="0.2">
      <c r="A33" s="85">
        <f t="shared" ref="A33:B33" si="26">+A32+1</f>
        <v>32</v>
      </c>
      <c r="B33" s="124">
        <f t="shared" si="26"/>
        <v>32</v>
      </c>
      <c r="C33" s="125">
        <v>43883</v>
      </c>
      <c r="D33" s="125" t="s">
        <v>617</v>
      </c>
      <c r="E33" s="176">
        <f>WEEKNUM(Tabla16[[#This Row],[Fecha]],21)</f>
        <v>8</v>
      </c>
      <c r="F33" s="163">
        <v>5</v>
      </c>
      <c r="G33" s="163">
        <v>6</v>
      </c>
      <c r="H33" s="163">
        <v>10</v>
      </c>
      <c r="I33" s="163">
        <v>11</v>
      </c>
      <c r="J33" s="164">
        <v>31</v>
      </c>
      <c r="K33" s="164">
        <v>37</v>
      </c>
      <c r="L33" s="85"/>
      <c r="M33" s="85"/>
      <c r="N33" s="85"/>
      <c r="O33" s="85">
        <v>2</v>
      </c>
      <c r="P33" s="85" t="s">
        <v>619</v>
      </c>
      <c r="Q33" s="86">
        <v>1</v>
      </c>
      <c r="R33" s="86"/>
    </row>
    <row r="34" spans="1:18" s="39" customFormat="1" x14ac:dyDescent="0.2">
      <c r="A34" s="85">
        <f t="shared" ref="A34:B34" si="27">+A33+1</f>
        <v>33</v>
      </c>
      <c r="B34" s="124">
        <f t="shared" si="27"/>
        <v>33</v>
      </c>
      <c r="C34" s="125">
        <v>43888</v>
      </c>
      <c r="D34" s="125" t="s">
        <v>617</v>
      </c>
      <c r="E34" s="86">
        <f>WEEKNUM(Tabla16[[#This Row],[Fecha]],21)</f>
        <v>9</v>
      </c>
      <c r="F34" s="85">
        <v>7</v>
      </c>
      <c r="G34" s="85">
        <v>9</v>
      </c>
      <c r="H34" s="85">
        <v>23</v>
      </c>
      <c r="I34" s="170">
        <v>25</v>
      </c>
      <c r="J34" s="85">
        <v>36</v>
      </c>
      <c r="K34" s="85">
        <v>45</v>
      </c>
      <c r="L34" s="85"/>
      <c r="M34" s="85"/>
      <c r="N34" s="85"/>
      <c r="O34" s="85">
        <v>1</v>
      </c>
      <c r="P34" s="85" t="s">
        <v>618</v>
      </c>
      <c r="Q34" s="86">
        <v>1</v>
      </c>
      <c r="R34" s="86"/>
    </row>
    <row r="35" spans="1:18" s="39" customFormat="1" x14ac:dyDescent="0.2">
      <c r="A35" s="85">
        <f t="shared" ref="A35:B35" si="28">+A34+1</f>
        <v>34</v>
      </c>
      <c r="B35" s="124">
        <f t="shared" si="28"/>
        <v>34</v>
      </c>
      <c r="C35" s="125">
        <v>43888</v>
      </c>
      <c r="D35" s="125" t="s">
        <v>617</v>
      </c>
      <c r="E35" s="86">
        <f>WEEKNUM(Tabla16[[#This Row],[Fecha]],21)</f>
        <v>9</v>
      </c>
      <c r="F35" s="85">
        <v>2</v>
      </c>
      <c r="G35" s="85">
        <v>6</v>
      </c>
      <c r="H35" s="85">
        <v>10</v>
      </c>
      <c r="I35" s="85">
        <v>19</v>
      </c>
      <c r="J35" s="85">
        <v>31</v>
      </c>
      <c r="K35" s="85">
        <v>43</v>
      </c>
      <c r="L35" s="85"/>
      <c r="M35" s="85"/>
      <c r="N35" s="85"/>
      <c r="O35" s="85">
        <v>0</v>
      </c>
      <c r="P35" s="85" t="s">
        <v>619</v>
      </c>
      <c r="Q35" s="86">
        <v>1</v>
      </c>
      <c r="R35" s="86"/>
    </row>
    <row r="36" spans="1:18" s="39" customFormat="1" x14ac:dyDescent="0.2">
      <c r="A36" s="85">
        <f t="shared" ref="A36:B36" si="29">+A35+1</f>
        <v>35</v>
      </c>
      <c r="B36" s="124">
        <f t="shared" si="29"/>
        <v>35</v>
      </c>
      <c r="C36" s="125">
        <v>43890</v>
      </c>
      <c r="D36" s="125" t="s">
        <v>617</v>
      </c>
      <c r="E36" s="86">
        <f>WEEKNUM(Tabla16[[#This Row],[Fecha]],21)</f>
        <v>9</v>
      </c>
      <c r="F36" s="85">
        <v>9</v>
      </c>
      <c r="G36" s="85">
        <v>12</v>
      </c>
      <c r="H36" s="85">
        <v>15</v>
      </c>
      <c r="I36" s="85">
        <v>26</v>
      </c>
      <c r="J36" s="170">
        <v>36</v>
      </c>
      <c r="K36" s="85">
        <v>45</v>
      </c>
      <c r="L36" s="85"/>
      <c r="M36" s="85"/>
      <c r="N36" s="85"/>
      <c r="O36" s="85">
        <v>1</v>
      </c>
      <c r="P36" s="85" t="s">
        <v>618</v>
      </c>
      <c r="Q36" s="86">
        <v>1</v>
      </c>
      <c r="R36" s="86"/>
    </row>
    <row r="37" spans="1:18" s="39" customFormat="1" x14ac:dyDescent="0.2">
      <c r="A37" s="85">
        <f t="shared" ref="A37:B37" si="30">+A36+1</f>
        <v>36</v>
      </c>
      <c r="B37" s="124">
        <f t="shared" si="30"/>
        <v>36</v>
      </c>
      <c r="C37" s="125">
        <v>43890</v>
      </c>
      <c r="D37" s="125" t="s">
        <v>617</v>
      </c>
      <c r="E37" s="86">
        <f>WEEKNUM(Tabla16[[#This Row],[Fecha]],21)</f>
        <v>9</v>
      </c>
      <c r="F37" s="85">
        <v>2</v>
      </c>
      <c r="G37" s="85">
        <v>8</v>
      </c>
      <c r="H37" s="85">
        <v>10</v>
      </c>
      <c r="I37" s="85">
        <v>16</v>
      </c>
      <c r="J37" s="85">
        <v>40</v>
      </c>
      <c r="K37" s="85">
        <v>44</v>
      </c>
      <c r="L37" s="85"/>
      <c r="M37" s="85"/>
      <c r="N37" s="85"/>
      <c r="O37" s="85">
        <v>0</v>
      </c>
      <c r="P37" s="85" t="s">
        <v>619</v>
      </c>
      <c r="Q37" s="86">
        <v>1</v>
      </c>
      <c r="R37" s="86"/>
    </row>
    <row r="38" spans="1:18" s="39" customFormat="1" x14ac:dyDescent="0.2">
      <c r="A38" s="85">
        <f t="shared" ref="A38:B38" si="31">+A37+1</f>
        <v>37</v>
      </c>
      <c r="B38" s="124">
        <f t="shared" si="31"/>
        <v>37</v>
      </c>
      <c r="C38" s="125">
        <v>43895</v>
      </c>
      <c r="D38" s="125" t="s">
        <v>617</v>
      </c>
      <c r="E38" s="86">
        <f>WEEKNUM(Tabla16[[#This Row],[Fecha]],21)</f>
        <v>10</v>
      </c>
      <c r="F38" s="195">
        <v>7</v>
      </c>
      <c r="G38" s="195">
        <v>12</v>
      </c>
      <c r="H38" s="196">
        <v>15</v>
      </c>
      <c r="I38" s="195">
        <v>16</v>
      </c>
      <c r="J38" s="195">
        <v>26</v>
      </c>
      <c r="K38" s="195">
        <v>45</v>
      </c>
      <c r="L38" s="85"/>
      <c r="M38" s="85"/>
      <c r="N38" s="85"/>
      <c r="O38" s="85">
        <v>1</v>
      </c>
      <c r="P38" s="85" t="s">
        <v>618</v>
      </c>
      <c r="Q38" s="86">
        <v>1</v>
      </c>
      <c r="R38" s="86"/>
    </row>
    <row r="39" spans="1:18" s="39" customFormat="1" x14ac:dyDescent="0.2">
      <c r="A39" s="85">
        <f t="shared" ref="A39:B39" si="32">+A38+1</f>
        <v>38</v>
      </c>
      <c r="B39" s="124">
        <f t="shared" si="32"/>
        <v>38</v>
      </c>
      <c r="C39" s="125">
        <v>43895</v>
      </c>
      <c r="D39" s="125" t="s">
        <v>617</v>
      </c>
      <c r="E39" s="86">
        <f>WEEKNUM(Tabla16[[#This Row],[Fecha]],21)</f>
        <v>10</v>
      </c>
      <c r="F39" s="195">
        <v>1</v>
      </c>
      <c r="G39" s="195">
        <v>8</v>
      </c>
      <c r="H39" s="195">
        <v>18</v>
      </c>
      <c r="I39" s="196">
        <v>19</v>
      </c>
      <c r="J39" s="195">
        <v>40</v>
      </c>
      <c r="K39" s="195">
        <v>41</v>
      </c>
      <c r="L39" s="85"/>
      <c r="M39" s="85"/>
      <c r="N39" s="85"/>
      <c r="O39" s="85">
        <v>1</v>
      </c>
      <c r="P39" s="85" t="s">
        <v>619</v>
      </c>
      <c r="Q39" s="86">
        <v>1</v>
      </c>
      <c r="R39" s="86"/>
    </row>
    <row r="40" spans="1:18" s="39" customFormat="1" x14ac:dyDescent="0.2">
      <c r="A40" s="85">
        <f t="shared" ref="A40:B40" si="33">+A39+1</f>
        <v>39</v>
      </c>
      <c r="B40" s="124">
        <f t="shared" si="33"/>
        <v>39</v>
      </c>
      <c r="C40" s="125">
        <v>43897</v>
      </c>
      <c r="D40" s="125" t="s">
        <v>617</v>
      </c>
      <c r="E40" s="86">
        <f>WEEKNUM(Tabla16[[#This Row],[Fecha]],21)</f>
        <v>10</v>
      </c>
      <c r="F40" s="170">
        <v>3</v>
      </c>
      <c r="G40" s="85">
        <v>17</v>
      </c>
      <c r="H40" s="85">
        <v>21</v>
      </c>
      <c r="I40" s="170">
        <v>22</v>
      </c>
      <c r="J40" s="85">
        <v>28</v>
      </c>
      <c r="K40" s="85">
        <v>49</v>
      </c>
      <c r="L40" s="85"/>
      <c r="M40" s="85"/>
      <c r="N40" s="85"/>
      <c r="O40" s="85">
        <v>2</v>
      </c>
      <c r="P40" s="85" t="s">
        <v>618</v>
      </c>
      <c r="Q40" s="86">
        <v>1</v>
      </c>
      <c r="R40" s="86"/>
    </row>
    <row r="41" spans="1:18" s="39" customFormat="1" x14ac:dyDescent="0.2">
      <c r="A41" s="85">
        <f t="shared" ref="A41:B41" si="34">+A40+1</f>
        <v>40</v>
      </c>
      <c r="B41" s="124">
        <f t="shared" si="34"/>
        <v>40</v>
      </c>
      <c r="C41" s="125">
        <v>43897</v>
      </c>
      <c r="D41" s="125" t="s">
        <v>617</v>
      </c>
      <c r="E41" s="86">
        <f>WEEKNUM(Tabla16[[#This Row],[Fecha]],21)</f>
        <v>10</v>
      </c>
      <c r="F41" s="85">
        <v>7</v>
      </c>
      <c r="G41" s="85">
        <v>10</v>
      </c>
      <c r="H41" s="85">
        <v>36</v>
      </c>
      <c r="I41" s="85">
        <v>39</v>
      </c>
      <c r="J41" s="85">
        <v>40</v>
      </c>
      <c r="K41" s="85">
        <v>45</v>
      </c>
      <c r="L41" s="85"/>
      <c r="M41" s="85"/>
      <c r="N41" s="85"/>
      <c r="O41" s="85">
        <v>0</v>
      </c>
      <c r="P41" s="85" t="s">
        <v>619</v>
      </c>
      <c r="Q41" s="86">
        <v>1</v>
      </c>
      <c r="R41" s="86"/>
    </row>
    <row r="42" spans="1:18" s="39" customFormat="1" x14ac:dyDescent="0.2">
      <c r="A42" s="85">
        <f t="shared" ref="A42:B42" si="35">+A41+1</f>
        <v>41</v>
      </c>
      <c r="B42" s="124">
        <f t="shared" si="35"/>
        <v>41</v>
      </c>
      <c r="C42" s="125">
        <v>43902</v>
      </c>
      <c r="D42" s="125" t="s">
        <v>617</v>
      </c>
      <c r="E42" s="86">
        <f>WEEKNUM(Tabla16[[#This Row],[Fecha]],21)</f>
        <v>11</v>
      </c>
      <c r="F42" s="85">
        <v>2</v>
      </c>
      <c r="G42" s="170">
        <v>15</v>
      </c>
      <c r="H42" s="170">
        <v>16</v>
      </c>
      <c r="I42" s="85">
        <v>19</v>
      </c>
      <c r="J42" s="85">
        <v>21</v>
      </c>
      <c r="K42" s="85">
        <v>44</v>
      </c>
      <c r="L42" s="85"/>
      <c r="M42" s="85"/>
      <c r="N42" s="85"/>
      <c r="O42" s="85">
        <v>2</v>
      </c>
      <c r="P42" s="85" t="s">
        <v>618</v>
      </c>
      <c r="Q42" s="86">
        <v>1</v>
      </c>
      <c r="R42" s="86"/>
    </row>
    <row r="43" spans="1:18" s="39" customFormat="1" x14ac:dyDescent="0.2">
      <c r="A43" s="85">
        <f t="shared" ref="A43:B43" si="36">+A42+1</f>
        <v>42</v>
      </c>
      <c r="B43" s="124">
        <f t="shared" si="36"/>
        <v>42</v>
      </c>
      <c r="C43" s="125">
        <v>43902</v>
      </c>
      <c r="D43" s="125" t="s">
        <v>617</v>
      </c>
      <c r="E43" s="86">
        <f>WEEKNUM(Tabla16[[#This Row],[Fecha]],21)</f>
        <v>11</v>
      </c>
      <c r="F43" s="163">
        <v>2</v>
      </c>
      <c r="G43" s="173">
        <v>7</v>
      </c>
      <c r="H43" s="163">
        <v>10</v>
      </c>
      <c r="I43" s="163">
        <v>40</v>
      </c>
      <c r="J43" s="163">
        <v>42</v>
      </c>
      <c r="K43" s="163">
        <v>46</v>
      </c>
      <c r="L43" s="85"/>
      <c r="M43" s="85"/>
      <c r="N43" s="85"/>
      <c r="O43" s="85">
        <v>1</v>
      </c>
      <c r="P43" s="85" t="s">
        <v>619</v>
      </c>
      <c r="Q43" s="86">
        <v>1</v>
      </c>
      <c r="R43" s="86"/>
    </row>
    <row r="44" spans="1:18" s="39" customFormat="1" x14ac:dyDescent="0.2">
      <c r="A44" s="85">
        <f t="shared" ref="A44:B44" si="37">+A43+1</f>
        <v>43</v>
      </c>
      <c r="B44" s="124">
        <f t="shared" si="37"/>
        <v>43</v>
      </c>
      <c r="C44" s="125">
        <v>43904</v>
      </c>
      <c r="D44" s="125" t="s">
        <v>617</v>
      </c>
      <c r="E44" s="86">
        <f>WEEKNUM(Tabla16[[#This Row],[Fecha]],21)</f>
        <v>11</v>
      </c>
      <c r="F44" s="163">
        <v>2</v>
      </c>
      <c r="G44" s="163">
        <v>17</v>
      </c>
      <c r="H44" s="163">
        <v>19</v>
      </c>
      <c r="I44" s="163">
        <v>25</v>
      </c>
      <c r="J44" s="163">
        <v>26</v>
      </c>
      <c r="K44" s="163">
        <v>36</v>
      </c>
      <c r="L44" s="85"/>
      <c r="M44" s="85"/>
      <c r="N44" s="85"/>
      <c r="O44" s="85">
        <v>0</v>
      </c>
      <c r="P44" s="85" t="s">
        <v>618</v>
      </c>
      <c r="Q44" s="86">
        <v>1</v>
      </c>
      <c r="R44" s="86"/>
    </row>
    <row r="45" spans="1:18" s="39" customFormat="1" x14ac:dyDescent="0.2">
      <c r="A45" s="85">
        <f t="shared" ref="A45:B45" si="38">+A44+1</f>
        <v>44</v>
      </c>
      <c r="B45" s="124">
        <f t="shared" si="38"/>
        <v>44</v>
      </c>
      <c r="C45" s="125">
        <v>43904</v>
      </c>
      <c r="D45" s="125" t="s">
        <v>617</v>
      </c>
      <c r="E45" s="86">
        <f>WEEKNUM(Tabla16[[#This Row],[Fecha]],21)</f>
        <v>11</v>
      </c>
      <c r="F45" s="85">
        <v>16</v>
      </c>
      <c r="G45" s="85">
        <v>26</v>
      </c>
      <c r="H45" s="85">
        <v>40</v>
      </c>
      <c r="I45" s="85">
        <v>42</v>
      </c>
      <c r="J45" s="85">
        <v>43</v>
      </c>
      <c r="K45" s="85">
        <v>46</v>
      </c>
      <c r="L45" s="85"/>
      <c r="M45" s="85"/>
      <c r="N45" s="85"/>
      <c r="O45" s="85">
        <v>0</v>
      </c>
      <c r="P45" s="85" t="s">
        <v>619</v>
      </c>
      <c r="Q45" s="86">
        <v>1</v>
      </c>
      <c r="R45" s="86"/>
    </row>
  </sheetData>
  <sortState ref="G48:G53">
    <sortCondition ref="G48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D880C-F630-437A-8108-6AB67DA12BE2}">
  <sheetPr codeName="Hoja2"/>
  <dimension ref="A1:M2"/>
  <sheetViews>
    <sheetView workbookViewId="0">
      <selection activeCell="F8" sqref="F8"/>
    </sheetView>
  </sheetViews>
  <sheetFormatPr baseColWidth="10" defaultColWidth="11.28515625" defaultRowHeight="15" x14ac:dyDescent="0.25"/>
  <cols>
    <col min="1" max="1" width="5" bestFit="1" customWidth="1"/>
    <col min="2" max="2" width="20.42578125" bestFit="1" customWidth="1"/>
    <col min="3" max="3" width="13.5703125" bestFit="1" customWidth="1"/>
    <col min="4" max="4" width="18" bestFit="1" customWidth="1"/>
    <col min="5" max="5" width="20.42578125" bestFit="1" customWidth="1"/>
    <col min="6" max="6" width="20.5703125" bestFit="1" customWidth="1"/>
    <col min="7" max="7" width="20.140625" bestFit="1" customWidth="1"/>
    <col min="8" max="8" width="14.5703125" bestFit="1" customWidth="1"/>
    <col min="9" max="9" width="17.28515625" bestFit="1" customWidth="1"/>
    <col min="10" max="10" width="13.85546875" bestFit="1" customWidth="1"/>
    <col min="11" max="11" width="20.5703125" bestFit="1" customWidth="1"/>
    <col min="12" max="12" width="12" bestFit="1" customWidth="1"/>
    <col min="13" max="13" width="20.140625" bestFit="1" customWidth="1"/>
  </cols>
  <sheetData>
    <row r="1" spans="1:13" x14ac:dyDescent="0.25">
      <c r="A1" t="s">
        <v>607</v>
      </c>
      <c r="B1" s="200" t="s">
        <v>755</v>
      </c>
      <c r="C1" s="201" t="s">
        <v>756</v>
      </c>
      <c r="D1" s="201" t="s">
        <v>757</v>
      </c>
      <c r="E1" s="201" t="s">
        <v>758</v>
      </c>
      <c r="F1" s="201" t="s">
        <v>759</v>
      </c>
      <c r="G1" s="201" t="s">
        <v>760</v>
      </c>
      <c r="H1" s="201" t="s">
        <v>761</v>
      </c>
      <c r="I1" s="201" t="s">
        <v>762</v>
      </c>
      <c r="J1" s="201" t="s">
        <v>763</v>
      </c>
      <c r="K1" s="201" t="s">
        <v>764</v>
      </c>
      <c r="L1" s="201" t="s">
        <v>765</v>
      </c>
      <c r="M1" s="201" t="s">
        <v>766</v>
      </c>
    </row>
    <row r="2" spans="1:13" x14ac:dyDescent="0.25">
      <c r="A2">
        <v>1</v>
      </c>
      <c r="B2">
        <v>1</v>
      </c>
      <c r="C2">
        <v>6</v>
      </c>
      <c r="D2">
        <v>1</v>
      </c>
      <c r="E2">
        <v>0</v>
      </c>
      <c r="F2" t="b">
        <v>1</v>
      </c>
      <c r="G2">
        <v>0</v>
      </c>
      <c r="H2" t="b">
        <v>0</v>
      </c>
      <c r="I2">
        <v>0</v>
      </c>
      <c r="J2">
        <v>0</v>
      </c>
      <c r="L2" s="202">
        <v>43969</v>
      </c>
      <c r="M2" s="202">
        <v>43969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6"/>
  <dimension ref="A1:AC131"/>
  <sheetViews>
    <sheetView zoomScale="130" zoomScaleNormal="130" workbookViewId="0">
      <selection activeCell="E8" sqref="E8"/>
    </sheetView>
  </sheetViews>
  <sheetFormatPr baseColWidth="10" defaultColWidth="11.42578125" defaultRowHeight="12.75" x14ac:dyDescent="0.2"/>
  <cols>
    <col min="1" max="1" width="4.5703125" style="61" bestFit="1" customWidth="1"/>
    <col min="2" max="2" width="10.140625" style="61" bestFit="1" customWidth="1"/>
    <col min="3" max="3" width="24.85546875" style="61" bestFit="1" customWidth="1"/>
    <col min="4" max="12" width="5.5703125" style="61" bestFit="1" customWidth="1"/>
    <col min="13" max="14" width="6.5703125" style="61" bestFit="1" customWidth="1"/>
    <col min="15" max="15" width="4.28515625" style="61" bestFit="1" customWidth="1"/>
    <col min="16" max="25" width="3.28515625" style="61" bestFit="1" customWidth="1"/>
    <col min="26" max="26" width="8.42578125" style="61" bestFit="1" customWidth="1"/>
    <col min="27" max="27" width="10.85546875" style="61" bestFit="1" customWidth="1"/>
    <col min="28" max="28" width="3.28515625" style="61" bestFit="1" customWidth="1"/>
    <col min="29" max="29" width="5" style="61" bestFit="1" customWidth="1"/>
    <col min="30" max="30" width="3.28515625" style="61" bestFit="1" customWidth="1"/>
    <col min="31" max="31" width="9.85546875" style="61" bestFit="1" customWidth="1"/>
    <col min="32" max="32" width="10.85546875" style="61" bestFit="1" customWidth="1"/>
    <col min="33" max="33" width="3.28515625" style="61" bestFit="1" customWidth="1"/>
    <col min="34" max="34" width="5" style="61" bestFit="1" customWidth="1"/>
    <col min="35" max="47" width="3.28515625" style="61" bestFit="1" customWidth="1"/>
    <col min="48" max="48" width="10.85546875" style="61" bestFit="1" customWidth="1"/>
    <col min="49" max="49" width="11.85546875" style="61" bestFit="1" customWidth="1"/>
    <col min="50" max="50" width="3.28515625" style="61" bestFit="1" customWidth="1"/>
    <col min="51" max="51" width="6" style="61" bestFit="1" customWidth="1"/>
    <col min="52" max="101" width="3.28515625" style="61" bestFit="1" customWidth="1"/>
    <col min="102" max="102" width="9.85546875" style="61" bestFit="1" customWidth="1"/>
    <col min="103" max="103" width="11.85546875" style="61" bestFit="1" customWidth="1"/>
    <col min="104" max="104" width="3.28515625" style="61" bestFit="1" customWidth="1"/>
    <col min="105" max="105" width="6" style="61" bestFit="1" customWidth="1"/>
    <col min="106" max="16384" width="11.42578125" style="61"/>
  </cols>
  <sheetData>
    <row r="1" spans="1:29" x14ac:dyDescent="0.2">
      <c r="A1" s="43"/>
    </row>
    <row r="2" spans="1:29" ht="72.75" x14ac:dyDescent="0.2">
      <c r="A2" s="180" t="s">
        <v>17</v>
      </c>
      <c r="B2" s="180" t="s">
        <v>19</v>
      </c>
      <c r="C2" s="180" t="s">
        <v>626</v>
      </c>
      <c r="D2" s="180" t="s">
        <v>22</v>
      </c>
      <c r="E2" s="180" t="s">
        <v>23</v>
      </c>
      <c r="F2" s="180" t="s">
        <v>24</v>
      </c>
      <c r="G2" s="180" t="s">
        <v>25</v>
      </c>
      <c r="H2" s="180" t="s">
        <v>26</v>
      </c>
      <c r="I2" s="180" t="s">
        <v>27</v>
      </c>
      <c r="J2" s="180" t="s">
        <v>610</v>
      </c>
      <c r="K2" s="180" t="s">
        <v>611</v>
      </c>
      <c r="L2" s="180" t="s">
        <v>612</v>
      </c>
      <c r="M2" s="180" t="s">
        <v>627</v>
      </c>
      <c r="N2" s="180" t="s">
        <v>628</v>
      </c>
      <c r="O2" s="180" t="s">
        <v>629</v>
      </c>
      <c r="P2" s="44" t="s">
        <v>744</v>
      </c>
      <c r="Q2" s="44" t="s">
        <v>745</v>
      </c>
      <c r="R2" s="44" t="s">
        <v>747</v>
      </c>
      <c r="S2" s="44" t="s">
        <v>748</v>
      </c>
      <c r="T2" s="44" t="s">
        <v>749</v>
      </c>
      <c r="U2" s="44" t="s">
        <v>750</v>
      </c>
      <c r="V2" s="44" t="s">
        <v>751</v>
      </c>
      <c r="W2" s="44" t="s">
        <v>752</v>
      </c>
      <c r="X2" s="44" t="s">
        <v>753</v>
      </c>
      <c r="Y2" s="44" t="s">
        <v>754</v>
      </c>
      <c r="Z2" s="44" t="s">
        <v>630</v>
      </c>
      <c r="AA2" s="44" t="s">
        <v>12</v>
      </c>
      <c r="AB2" s="44" t="s">
        <v>631</v>
      </c>
      <c r="AC2" s="44" t="s">
        <v>632</v>
      </c>
    </row>
    <row r="3" spans="1:29" x14ac:dyDescent="0.2">
      <c r="A3" s="71">
        <v>1</v>
      </c>
      <c r="B3" s="182">
        <v>43818</v>
      </c>
      <c r="C3" s="131" t="s">
        <v>710</v>
      </c>
      <c r="D3" s="126">
        <v>2</v>
      </c>
      <c r="E3" s="126">
        <v>15</v>
      </c>
      <c r="F3" s="126">
        <v>16</v>
      </c>
      <c r="G3" s="126">
        <v>19</v>
      </c>
      <c r="H3" s="126">
        <v>28</v>
      </c>
      <c r="I3" s="126">
        <v>34</v>
      </c>
      <c r="J3" s="126">
        <v>36</v>
      </c>
      <c r="K3" s="126">
        <v>39</v>
      </c>
      <c r="L3" s="126">
        <v>41</v>
      </c>
      <c r="M3" s="126">
        <v>43</v>
      </c>
      <c r="N3" s="126">
        <v>45</v>
      </c>
      <c r="O3" s="180"/>
      <c r="P3" s="61">
        <v>2</v>
      </c>
      <c r="Z3" s="62">
        <v>462</v>
      </c>
      <c r="AA3" s="62">
        <v>0</v>
      </c>
      <c r="AB3" s="61">
        <v>1</v>
      </c>
      <c r="AC3" s="61">
        <v>400</v>
      </c>
    </row>
    <row r="4" spans="1:29" x14ac:dyDescent="0.2">
      <c r="A4" s="71">
        <v>2</v>
      </c>
      <c r="B4" s="120">
        <v>43818</v>
      </c>
      <c r="C4" s="121" t="s">
        <v>711</v>
      </c>
      <c r="D4" s="76">
        <v>4</v>
      </c>
      <c r="E4" s="76">
        <v>9</v>
      </c>
      <c r="F4" s="76">
        <v>17</v>
      </c>
      <c r="G4" s="76">
        <v>19</v>
      </c>
      <c r="H4" s="76">
        <v>27</v>
      </c>
      <c r="I4" s="76">
        <v>32</v>
      </c>
      <c r="J4" s="76">
        <v>34</v>
      </c>
      <c r="K4" s="76">
        <v>40</v>
      </c>
      <c r="L4" s="76">
        <v>42</v>
      </c>
      <c r="M4" s="76">
        <v>43</v>
      </c>
      <c r="N4" s="76">
        <v>46</v>
      </c>
      <c r="O4" s="180"/>
      <c r="P4" s="61">
        <v>2</v>
      </c>
      <c r="Z4" s="62">
        <v>462</v>
      </c>
      <c r="AA4" s="62">
        <v>0</v>
      </c>
      <c r="AB4" s="61">
        <v>1</v>
      </c>
      <c r="AC4" s="61">
        <v>400</v>
      </c>
    </row>
    <row r="5" spans="1:29" x14ac:dyDescent="0.2">
      <c r="A5" s="71">
        <v>3</v>
      </c>
      <c r="B5" s="132">
        <v>43818</v>
      </c>
      <c r="C5" s="133" t="s">
        <v>720</v>
      </c>
      <c r="D5" s="134">
        <v>2</v>
      </c>
      <c r="E5" s="134">
        <v>7</v>
      </c>
      <c r="F5" s="134">
        <v>19</v>
      </c>
      <c r="G5" s="134">
        <v>21</v>
      </c>
      <c r="H5" s="134">
        <v>22</v>
      </c>
      <c r="I5" s="134">
        <v>30</v>
      </c>
      <c r="J5" s="134">
        <v>31</v>
      </c>
      <c r="K5" s="134">
        <v>32</v>
      </c>
      <c r="L5" s="134">
        <v>42</v>
      </c>
      <c r="M5" s="134">
        <v>46</v>
      </c>
      <c r="N5" s="134">
        <v>49</v>
      </c>
      <c r="O5" s="180"/>
      <c r="P5" s="61">
        <v>1</v>
      </c>
      <c r="Z5" s="62">
        <v>462</v>
      </c>
      <c r="AA5" s="62">
        <v>0</v>
      </c>
      <c r="AB5" s="61">
        <v>1</v>
      </c>
      <c r="AC5" s="61">
        <v>200</v>
      </c>
    </row>
    <row r="6" spans="1:29" x14ac:dyDescent="0.2">
      <c r="A6" s="71">
        <v>4</v>
      </c>
      <c r="B6" s="130">
        <v>43820</v>
      </c>
      <c r="C6" s="131" t="s">
        <v>710</v>
      </c>
      <c r="D6" s="126">
        <v>2</v>
      </c>
      <c r="E6" s="126">
        <v>14</v>
      </c>
      <c r="F6" s="126">
        <v>15</v>
      </c>
      <c r="G6" s="126">
        <v>16</v>
      </c>
      <c r="H6" s="126">
        <v>23</v>
      </c>
      <c r="I6" s="126">
        <v>28</v>
      </c>
      <c r="J6" s="126">
        <v>31</v>
      </c>
      <c r="K6" s="126">
        <v>34</v>
      </c>
      <c r="L6" s="126">
        <v>39</v>
      </c>
      <c r="M6" s="126">
        <v>43</v>
      </c>
      <c r="N6" s="126">
        <v>45</v>
      </c>
      <c r="O6" s="180"/>
      <c r="P6" s="165" t="s">
        <v>717</v>
      </c>
      <c r="Z6" s="62">
        <v>462</v>
      </c>
      <c r="AA6" s="62">
        <v>448</v>
      </c>
      <c r="AB6" s="61">
        <v>1</v>
      </c>
      <c r="AC6" s="61">
        <v>800</v>
      </c>
    </row>
    <row r="7" spans="1:29" x14ac:dyDescent="0.2">
      <c r="A7" s="71">
        <v>5</v>
      </c>
      <c r="B7" s="120">
        <v>43820</v>
      </c>
      <c r="C7" s="121" t="s">
        <v>711</v>
      </c>
      <c r="D7" s="76">
        <v>1</v>
      </c>
      <c r="E7" s="76">
        <v>4</v>
      </c>
      <c r="F7" s="76">
        <v>9</v>
      </c>
      <c r="G7" s="76">
        <v>25</v>
      </c>
      <c r="H7" s="76">
        <v>26</v>
      </c>
      <c r="I7" s="76">
        <v>27</v>
      </c>
      <c r="J7" s="76">
        <v>28</v>
      </c>
      <c r="K7" s="76">
        <v>32</v>
      </c>
      <c r="L7" s="76">
        <v>41</v>
      </c>
      <c r="M7" s="76">
        <v>43</v>
      </c>
      <c r="N7" s="76">
        <v>46</v>
      </c>
      <c r="O7" s="180"/>
      <c r="P7" s="61">
        <v>1</v>
      </c>
      <c r="Z7" s="62">
        <v>462</v>
      </c>
      <c r="AA7" s="62">
        <v>0</v>
      </c>
      <c r="AB7" s="61">
        <v>1</v>
      </c>
      <c r="AC7" s="61">
        <v>200</v>
      </c>
    </row>
    <row r="8" spans="1:29" x14ac:dyDescent="0.2">
      <c r="A8" s="71">
        <v>6</v>
      </c>
      <c r="B8" s="132">
        <v>43820</v>
      </c>
      <c r="C8" s="133" t="s">
        <v>720</v>
      </c>
      <c r="D8" s="134">
        <v>14</v>
      </c>
      <c r="E8" s="134">
        <v>16</v>
      </c>
      <c r="F8" s="134">
        <v>22</v>
      </c>
      <c r="G8" s="134">
        <v>26</v>
      </c>
      <c r="H8" s="134">
        <v>27</v>
      </c>
      <c r="I8" s="134">
        <v>28</v>
      </c>
      <c r="J8" s="134">
        <v>30</v>
      </c>
      <c r="K8" s="134">
        <v>31</v>
      </c>
      <c r="L8" s="134">
        <v>41</v>
      </c>
      <c r="M8" s="134">
        <v>42</v>
      </c>
      <c r="N8" s="134">
        <v>49</v>
      </c>
      <c r="O8" s="180"/>
      <c r="P8" s="61">
        <v>1</v>
      </c>
      <c r="Z8" s="62">
        <v>462</v>
      </c>
      <c r="AA8" s="62">
        <v>0</v>
      </c>
      <c r="AB8" s="61">
        <v>1</v>
      </c>
      <c r="AC8" s="61">
        <v>200</v>
      </c>
    </row>
    <row r="9" spans="1:29" x14ac:dyDescent="0.2">
      <c r="A9" s="71">
        <v>7</v>
      </c>
      <c r="B9" s="130">
        <v>43825</v>
      </c>
      <c r="C9" s="131" t="s">
        <v>710</v>
      </c>
      <c r="D9" s="126">
        <v>2</v>
      </c>
      <c r="E9" s="126">
        <v>9</v>
      </c>
      <c r="F9" s="126">
        <v>14</v>
      </c>
      <c r="G9" s="126">
        <v>15</v>
      </c>
      <c r="H9" s="126">
        <v>16</v>
      </c>
      <c r="I9" s="126">
        <v>26</v>
      </c>
      <c r="J9" s="126">
        <v>31</v>
      </c>
      <c r="K9" s="126">
        <v>34</v>
      </c>
      <c r="L9" s="126">
        <v>43</v>
      </c>
      <c r="M9" s="126">
        <v>44</v>
      </c>
      <c r="N9" s="126">
        <v>45</v>
      </c>
      <c r="O9" s="180"/>
      <c r="P9" s="165" t="s">
        <v>740</v>
      </c>
      <c r="Z9" s="62">
        <v>462</v>
      </c>
      <c r="AA9" s="62">
        <v>25975</v>
      </c>
      <c r="AB9" s="61">
        <v>1</v>
      </c>
      <c r="AC9" s="61">
        <v>1000</v>
      </c>
    </row>
    <row r="10" spans="1:29" x14ac:dyDescent="0.2">
      <c r="A10" s="71">
        <v>8</v>
      </c>
      <c r="B10" s="120">
        <v>43825</v>
      </c>
      <c r="C10" s="121" t="s">
        <v>711</v>
      </c>
      <c r="D10" s="76">
        <v>5</v>
      </c>
      <c r="E10" s="76">
        <v>8</v>
      </c>
      <c r="F10" s="76">
        <v>9</v>
      </c>
      <c r="G10" s="76">
        <v>16</v>
      </c>
      <c r="H10" s="76">
        <v>18</v>
      </c>
      <c r="I10" s="76">
        <v>25</v>
      </c>
      <c r="J10" s="76">
        <v>32</v>
      </c>
      <c r="K10" s="76">
        <v>33</v>
      </c>
      <c r="L10" s="76">
        <v>40</v>
      </c>
      <c r="M10" s="76">
        <v>43</v>
      </c>
      <c r="N10" s="76">
        <v>45</v>
      </c>
      <c r="O10" s="180"/>
      <c r="P10" s="61">
        <v>2</v>
      </c>
      <c r="Z10" s="62">
        <v>462</v>
      </c>
      <c r="AA10" s="62">
        <v>0</v>
      </c>
      <c r="AB10" s="61">
        <v>1</v>
      </c>
      <c r="AC10" s="61">
        <v>400</v>
      </c>
    </row>
    <row r="11" spans="1:29" x14ac:dyDescent="0.2">
      <c r="A11" s="71">
        <v>9</v>
      </c>
      <c r="B11" s="132">
        <v>43825</v>
      </c>
      <c r="C11" s="133" t="s">
        <v>720</v>
      </c>
      <c r="D11" s="134">
        <v>2</v>
      </c>
      <c r="E11" s="134">
        <v>7</v>
      </c>
      <c r="F11" s="134">
        <v>14</v>
      </c>
      <c r="G11" s="134">
        <v>16</v>
      </c>
      <c r="H11" s="134">
        <v>22</v>
      </c>
      <c r="I11" s="134">
        <v>26</v>
      </c>
      <c r="J11" s="134">
        <v>31</v>
      </c>
      <c r="K11" s="134">
        <v>34</v>
      </c>
      <c r="L11" s="134">
        <v>42</v>
      </c>
      <c r="M11" s="134">
        <v>43</v>
      </c>
      <c r="N11" s="134">
        <v>49</v>
      </c>
      <c r="O11" s="180"/>
      <c r="P11" s="61">
        <v>2</v>
      </c>
      <c r="Z11" s="62">
        <v>462</v>
      </c>
      <c r="AA11" s="62">
        <v>0</v>
      </c>
      <c r="AB11" s="61">
        <v>1</v>
      </c>
      <c r="AC11" s="61">
        <v>400</v>
      </c>
    </row>
    <row r="12" spans="1:29" x14ac:dyDescent="0.2">
      <c r="A12" s="71">
        <v>10</v>
      </c>
      <c r="B12" s="130">
        <v>43827</v>
      </c>
      <c r="C12" s="131" t="s">
        <v>710</v>
      </c>
      <c r="D12" s="126">
        <v>2</v>
      </c>
      <c r="E12" s="126">
        <v>3</v>
      </c>
      <c r="F12" s="126">
        <v>9</v>
      </c>
      <c r="G12" s="126">
        <v>15</v>
      </c>
      <c r="H12" s="126">
        <v>16</v>
      </c>
      <c r="I12" s="126">
        <v>26</v>
      </c>
      <c r="J12" s="126">
        <v>30</v>
      </c>
      <c r="K12" s="126">
        <v>36</v>
      </c>
      <c r="L12" s="126">
        <v>41</v>
      </c>
      <c r="M12" s="126">
        <v>43</v>
      </c>
      <c r="N12" s="126">
        <v>44</v>
      </c>
      <c r="O12" s="180"/>
      <c r="P12" s="61">
        <v>2</v>
      </c>
      <c r="Z12" s="62">
        <v>462</v>
      </c>
      <c r="AA12" s="62">
        <v>0</v>
      </c>
      <c r="AB12" s="61">
        <v>1</v>
      </c>
      <c r="AC12" s="61">
        <v>400</v>
      </c>
    </row>
    <row r="13" spans="1:29" x14ac:dyDescent="0.2">
      <c r="A13" s="71">
        <v>11</v>
      </c>
      <c r="B13" s="120">
        <v>43827</v>
      </c>
      <c r="C13" s="121" t="s">
        <v>711</v>
      </c>
      <c r="D13" s="76">
        <v>6</v>
      </c>
      <c r="E13" s="76">
        <v>8</v>
      </c>
      <c r="F13" s="76">
        <v>11</v>
      </c>
      <c r="G13" s="76">
        <v>16</v>
      </c>
      <c r="H13" s="76">
        <v>18</v>
      </c>
      <c r="I13" s="76">
        <v>30</v>
      </c>
      <c r="J13" s="76">
        <v>31</v>
      </c>
      <c r="K13" s="76">
        <v>40</v>
      </c>
      <c r="L13" s="76">
        <v>41</v>
      </c>
      <c r="M13" s="76">
        <v>42</v>
      </c>
      <c r="N13" s="76">
        <v>45</v>
      </c>
      <c r="O13" s="180"/>
      <c r="P13" s="61">
        <v>2</v>
      </c>
      <c r="Z13" s="62">
        <v>462</v>
      </c>
      <c r="AA13" s="62">
        <v>0</v>
      </c>
      <c r="AB13" s="61">
        <v>1</v>
      </c>
      <c r="AC13" s="61">
        <v>400</v>
      </c>
    </row>
    <row r="14" spans="1:29" x14ac:dyDescent="0.2">
      <c r="A14" s="71">
        <v>12</v>
      </c>
      <c r="B14" s="132">
        <v>43827</v>
      </c>
      <c r="C14" s="133" t="s">
        <v>720</v>
      </c>
      <c r="D14" s="134">
        <v>1</v>
      </c>
      <c r="E14" s="134">
        <v>2</v>
      </c>
      <c r="F14" s="134">
        <v>6</v>
      </c>
      <c r="G14" s="134">
        <v>9</v>
      </c>
      <c r="H14" s="134">
        <v>14</v>
      </c>
      <c r="I14" s="134">
        <v>32</v>
      </c>
      <c r="J14" s="134">
        <v>40</v>
      </c>
      <c r="K14" s="134">
        <v>42</v>
      </c>
      <c r="L14" s="134">
        <v>43</v>
      </c>
      <c r="M14" s="134">
        <v>45</v>
      </c>
      <c r="N14" s="134">
        <v>47</v>
      </c>
      <c r="O14" s="180"/>
      <c r="P14" s="61">
        <v>2</v>
      </c>
      <c r="Z14" s="62">
        <v>462</v>
      </c>
      <c r="AA14" s="62">
        <v>0</v>
      </c>
      <c r="AB14" s="61">
        <v>1</v>
      </c>
      <c r="AC14" s="61">
        <v>400</v>
      </c>
    </row>
    <row r="15" spans="1:29" x14ac:dyDescent="0.2">
      <c r="A15" s="71">
        <v>13</v>
      </c>
      <c r="B15" s="130">
        <v>43832</v>
      </c>
      <c r="C15" s="131" t="s">
        <v>710</v>
      </c>
      <c r="D15" s="126">
        <v>2</v>
      </c>
      <c r="E15" s="126">
        <v>6</v>
      </c>
      <c r="F15" s="126">
        <v>13</v>
      </c>
      <c r="G15" s="126">
        <v>15</v>
      </c>
      <c r="H15" s="126">
        <v>26</v>
      </c>
      <c r="I15" s="126">
        <v>27</v>
      </c>
      <c r="J15" s="126">
        <v>30</v>
      </c>
      <c r="K15" s="126">
        <v>36</v>
      </c>
      <c r="L15" s="126">
        <v>39</v>
      </c>
      <c r="M15" s="126">
        <v>40</v>
      </c>
      <c r="N15" s="126">
        <v>46</v>
      </c>
      <c r="O15" s="180"/>
      <c r="Z15" s="62">
        <v>462</v>
      </c>
      <c r="AA15" s="62">
        <v>0</v>
      </c>
      <c r="AB15" s="61">
        <v>0</v>
      </c>
      <c r="AC15" s="61">
        <v>0</v>
      </c>
    </row>
    <row r="16" spans="1:29" x14ac:dyDescent="0.2">
      <c r="A16" s="71">
        <v>14</v>
      </c>
      <c r="B16" s="120">
        <v>43832</v>
      </c>
      <c r="C16" s="121" t="s">
        <v>711</v>
      </c>
      <c r="D16" s="76">
        <v>5</v>
      </c>
      <c r="E16" s="76">
        <v>35</v>
      </c>
      <c r="F16" s="76">
        <v>38</v>
      </c>
      <c r="G16" s="76">
        <v>11</v>
      </c>
      <c r="H16" s="76">
        <v>37</v>
      </c>
      <c r="I16" s="76">
        <v>36</v>
      </c>
      <c r="J16" s="76">
        <v>19</v>
      </c>
      <c r="K16" s="76">
        <v>30</v>
      </c>
      <c r="L16" s="76">
        <v>31</v>
      </c>
      <c r="M16" s="76">
        <v>32</v>
      </c>
      <c r="N16" s="76">
        <v>33</v>
      </c>
      <c r="O16" s="180"/>
      <c r="P16" s="61">
        <v>2</v>
      </c>
      <c r="Z16" s="62">
        <v>462</v>
      </c>
      <c r="AA16" s="62">
        <v>0</v>
      </c>
      <c r="AB16" s="61">
        <v>1</v>
      </c>
      <c r="AC16" s="61">
        <v>400</v>
      </c>
    </row>
    <row r="17" spans="1:29" x14ac:dyDescent="0.2">
      <c r="A17" s="71">
        <v>15</v>
      </c>
      <c r="B17" s="132">
        <v>43832</v>
      </c>
      <c r="C17" s="133" t="s">
        <v>720</v>
      </c>
      <c r="D17" s="134">
        <v>2</v>
      </c>
      <c r="E17" s="134">
        <v>8</v>
      </c>
      <c r="F17" s="134">
        <v>11</v>
      </c>
      <c r="G17" s="134">
        <v>14</v>
      </c>
      <c r="H17" s="134">
        <v>22</v>
      </c>
      <c r="I17" s="134">
        <v>26</v>
      </c>
      <c r="J17" s="134">
        <v>30</v>
      </c>
      <c r="K17" s="134">
        <v>38</v>
      </c>
      <c r="L17" s="134">
        <v>40</v>
      </c>
      <c r="M17" s="134">
        <v>45</v>
      </c>
      <c r="N17" s="134">
        <v>46</v>
      </c>
      <c r="O17" s="180"/>
      <c r="P17" s="61">
        <v>1</v>
      </c>
      <c r="Z17" s="62">
        <v>462</v>
      </c>
      <c r="AA17" s="62">
        <v>0</v>
      </c>
      <c r="AB17" s="61">
        <v>1</v>
      </c>
      <c r="AC17" s="61">
        <v>200</v>
      </c>
    </row>
    <row r="18" spans="1:29" x14ac:dyDescent="0.2">
      <c r="A18" s="71">
        <v>16</v>
      </c>
      <c r="B18" s="130">
        <v>43834</v>
      </c>
      <c r="C18" s="131" t="s">
        <v>710</v>
      </c>
      <c r="D18" s="126">
        <v>1</v>
      </c>
      <c r="E18" s="126">
        <v>2</v>
      </c>
      <c r="F18" s="126">
        <v>7</v>
      </c>
      <c r="G18" s="126">
        <v>9</v>
      </c>
      <c r="H18" s="126">
        <v>11</v>
      </c>
      <c r="I18" s="126">
        <v>15</v>
      </c>
      <c r="J18" s="126">
        <v>16</v>
      </c>
      <c r="K18" s="126">
        <v>19</v>
      </c>
      <c r="L18" s="126">
        <v>28</v>
      </c>
      <c r="M18" s="126">
        <v>31</v>
      </c>
      <c r="N18" s="126">
        <v>39</v>
      </c>
      <c r="O18" s="180"/>
      <c r="P18" s="61">
        <v>2</v>
      </c>
      <c r="Z18" s="62">
        <v>462</v>
      </c>
      <c r="AA18" s="62">
        <v>0</v>
      </c>
      <c r="AB18" s="61">
        <v>1</v>
      </c>
      <c r="AC18" s="61">
        <v>400</v>
      </c>
    </row>
    <row r="19" spans="1:29" x14ac:dyDescent="0.2">
      <c r="A19" s="71">
        <v>17</v>
      </c>
      <c r="B19" s="120">
        <v>43834</v>
      </c>
      <c r="C19" s="121" t="s">
        <v>711</v>
      </c>
      <c r="D19" s="76">
        <v>12</v>
      </c>
      <c r="E19" s="76">
        <v>13</v>
      </c>
      <c r="F19" s="76">
        <v>17</v>
      </c>
      <c r="G19" s="76">
        <v>19</v>
      </c>
      <c r="H19" s="76">
        <v>30</v>
      </c>
      <c r="I19" s="76">
        <v>31</v>
      </c>
      <c r="J19" s="76">
        <v>32</v>
      </c>
      <c r="K19" s="76">
        <v>35</v>
      </c>
      <c r="L19" s="76">
        <v>36</v>
      </c>
      <c r="M19" s="76">
        <v>37</v>
      </c>
      <c r="N19" s="76">
        <v>38</v>
      </c>
      <c r="O19" s="180"/>
      <c r="P19" s="61">
        <v>2</v>
      </c>
      <c r="Z19" s="62">
        <v>462</v>
      </c>
      <c r="AA19" s="62">
        <v>0</v>
      </c>
      <c r="AB19" s="61">
        <v>1</v>
      </c>
      <c r="AC19" s="61">
        <v>400</v>
      </c>
    </row>
    <row r="20" spans="1:29" x14ac:dyDescent="0.2">
      <c r="A20" s="71">
        <v>18</v>
      </c>
      <c r="B20" s="132">
        <v>43834</v>
      </c>
      <c r="C20" s="133" t="s">
        <v>720</v>
      </c>
      <c r="D20" s="134">
        <v>7</v>
      </c>
      <c r="E20" s="134">
        <v>22</v>
      </c>
      <c r="F20" s="134">
        <v>26</v>
      </c>
      <c r="G20" s="134">
        <v>27</v>
      </c>
      <c r="H20" s="134">
        <v>34</v>
      </c>
      <c r="I20" s="134">
        <v>40</v>
      </c>
      <c r="J20" s="134">
        <v>41</v>
      </c>
      <c r="K20" s="134">
        <v>42</v>
      </c>
      <c r="L20" s="134">
        <v>45</v>
      </c>
      <c r="M20" s="134">
        <v>46</v>
      </c>
      <c r="N20" s="134">
        <v>47</v>
      </c>
      <c r="O20" s="180"/>
      <c r="P20" s="61">
        <v>2</v>
      </c>
      <c r="Z20" s="62">
        <v>462</v>
      </c>
      <c r="AA20" s="62">
        <v>0</v>
      </c>
      <c r="AB20" s="61">
        <v>1</v>
      </c>
      <c r="AC20" s="61">
        <v>400</v>
      </c>
    </row>
    <row r="21" spans="1:29" x14ac:dyDescent="0.2">
      <c r="A21" s="71">
        <v>19</v>
      </c>
      <c r="B21" s="130">
        <v>43839</v>
      </c>
      <c r="C21" s="131" t="s">
        <v>710</v>
      </c>
      <c r="D21" s="126">
        <v>1</v>
      </c>
      <c r="E21" s="126">
        <v>2</v>
      </c>
      <c r="F21" s="126">
        <v>9</v>
      </c>
      <c r="G21" s="126">
        <v>11</v>
      </c>
      <c r="H21" s="126">
        <v>15</v>
      </c>
      <c r="I21" s="126">
        <v>16</v>
      </c>
      <c r="J21" s="126">
        <v>19</v>
      </c>
      <c r="K21" s="126">
        <v>28</v>
      </c>
      <c r="L21" s="126">
        <v>38</v>
      </c>
      <c r="M21" s="126">
        <v>39</v>
      </c>
      <c r="N21" s="126">
        <v>45</v>
      </c>
      <c r="O21" s="180"/>
      <c r="P21" s="61">
        <v>2</v>
      </c>
      <c r="Z21" s="62">
        <v>462</v>
      </c>
      <c r="AA21" s="62">
        <v>0</v>
      </c>
      <c r="AB21" s="61">
        <v>1</v>
      </c>
      <c r="AC21" s="61">
        <v>400</v>
      </c>
    </row>
    <row r="22" spans="1:29" x14ac:dyDescent="0.2">
      <c r="A22" s="71">
        <v>20</v>
      </c>
      <c r="B22" s="120">
        <v>43839</v>
      </c>
      <c r="C22" s="121" t="s">
        <v>711</v>
      </c>
      <c r="D22" s="76">
        <v>5</v>
      </c>
      <c r="E22" s="76">
        <v>7</v>
      </c>
      <c r="F22" s="76">
        <v>12</v>
      </c>
      <c r="G22" s="76">
        <v>14</v>
      </c>
      <c r="H22" s="76">
        <v>17</v>
      </c>
      <c r="I22" s="76">
        <v>32</v>
      </c>
      <c r="J22" s="76">
        <v>40</v>
      </c>
      <c r="K22" s="76">
        <v>42</v>
      </c>
      <c r="L22" s="76">
        <v>43</v>
      </c>
      <c r="M22" s="76">
        <v>47</v>
      </c>
      <c r="N22" s="76">
        <v>48</v>
      </c>
      <c r="O22" s="180"/>
      <c r="Z22" s="62">
        <v>462</v>
      </c>
      <c r="AA22" s="62">
        <v>0</v>
      </c>
      <c r="AB22" s="61">
        <v>0</v>
      </c>
      <c r="AC22" s="61">
        <v>0</v>
      </c>
    </row>
    <row r="23" spans="1:29" x14ac:dyDescent="0.2">
      <c r="A23" s="71">
        <v>21</v>
      </c>
      <c r="B23" s="132">
        <v>43839</v>
      </c>
      <c r="C23" s="133" t="s">
        <v>720</v>
      </c>
      <c r="D23" s="134">
        <v>2</v>
      </c>
      <c r="E23" s="134">
        <v>16</v>
      </c>
      <c r="F23" s="134">
        <v>19</v>
      </c>
      <c r="G23" s="134">
        <v>25</v>
      </c>
      <c r="H23" s="134">
        <v>26</v>
      </c>
      <c r="I23" s="134">
        <v>30</v>
      </c>
      <c r="J23" s="134">
        <v>37</v>
      </c>
      <c r="K23" s="134">
        <v>39</v>
      </c>
      <c r="L23" s="134">
        <v>42</v>
      </c>
      <c r="M23" s="134">
        <v>45</v>
      </c>
      <c r="N23" s="134">
        <v>47</v>
      </c>
      <c r="O23" s="180"/>
      <c r="P23" s="61">
        <v>2</v>
      </c>
      <c r="Z23" s="62">
        <v>462</v>
      </c>
      <c r="AA23" s="62">
        <v>0</v>
      </c>
      <c r="AB23" s="61">
        <v>1</v>
      </c>
      <c r="AC23" s="61">
        <v>400</v>
      </c>
    </row>
    <row r="24" spans="1:29" x14ac:dyDescent="0.2">
      <c r="A24" s="71">
        <v>22</v>
      </c>
      <c r="B24" s="130">
        <v>43841</v>
      </c>
      <c r="C24" s="131" t="s">
        <v>710</v>
      </c>
      <c r="D24" s="126">
        <v>1</v>
      </c>
      <c r="E24" s="126">
        <v>2</v>
      </c>
      <c r="F24" s="126">
        <v>6</v>
      </c>
      <c r="G24" s="126">
        <v>9</v>
      </c>
      <c r="H24" s="126">
        <v>11</v>
      </c>
      <c r="I24" s="126">
        <v>15</v>
      </c>
      <c r="J24" s="126">
        <v>16</v>
      </c>
      <c r="K24" s="126">
        <v>22</v>
      </c>
      <c r="L24" s="126">
        <v>38</v>
      </c>
      <c r="M24" s="126">
        <v>39</v>
      </c>
      <c r="N24" s="126">
        <v>45</v>
      </c>
      <c r="O24" s="180"/>
      <c r="P24" s="61">
        <v>2</v>
      </c>
      <c r="Z24" s="62">
        <v>462</v>
      </c>
      <c r="AA24" s="62">
        <v>0</v>
      </c>
      <c r="AB24" s="61">
        <v>1</v>
      </c>
      <c r="AC24" s="61">
        <v>400</v>
      </c>
    </row>
    <row r="25" spans="1:29" x14ac:dyDescent="0.2">
      <c r="A25" s="71">
        <v>23</v>
      </c>
      <c r="B25" s="120">
        <v>43841</v>
      </c>
      <c r="C25" s="121" t="s">
        <v>711</v>
      </c>
      <c r="D25" s="76">
        <v>5</v>
      </c>
      <c r="E25" s="76">
        <v>7</v>
      </c>
      <c r="F25" s="76">
        <v>11</v>
      </c>
      <c r="G25" s="76">
        <v>12</v>
      </c>
      <c r="H25" s="76">
        <v>14</v>
      </c>
      <c r="I25" s="76">
        <v>32</v>
      </c>
      <c r="J25" s="76">
        <v>39</v>
      </c>
      <c r="K25" s="76">
        <v>40</v>
      </c>
      <c r="L25" s="76">
        <v>42</v>
      </c>
      <c r="M25" s="76">
        <v>45</v>
      </c>
      <c r="N25" s="76">
        <v>46</v>
      </c>
      <c r="O25" s="180"/>
      <c r="P25" s="61">
        <v>1</v>
      </c>
      <c r="Z25" s="62">
        <v>462</v>
      </c>
      <c r="AA25" s="62">
        <v>0</v>
      </c>
      <c r="AB25" s="61">
        <v>1</v>
      </c>
      <c r="AC25" s="61">
        <v>200</v>
      </c>
    </row>
    <row r="26" spans="1:29" x14ac:dyDescent="0.2">
      <c r="A26" s="71">
        <v>24</v>
      </c>
      <c r="B26" s="132">
        <v>43841</v>
      </c>
      <c r="C26" s="133" t="s">
        <v>720</v>
      </c>
      <c r="D26" s="134">
        <v>2</v>
      </c>
      <c r="E26" s="134">
        <v>16</v>
      </c>
      <c r="F26" s="134">
        <v>22</v>
      </c>
      <c r="G26" s="134">
        <v>25</v>
      </c>
      <c r="H26" s="134">
        <v>26</v>
      </c>
      <c r="I26" s="134">
        <v>30</v>
      </c>
      <c r="J26" s="134">
        <v>36</v>
      </c>
      <c r="K26" s="134">
        <v>38</v>
      </c>
      <c r="L26" s="134">
        <v>46</v>
      </c>
      <c r="M26" s="134">
        <v>47</v>
      </c>
      <c r="N26" s="134">
        <v>48</v>
      </c>
      <c r="O26" s="180"/>
      <c r="Z26" s="62">
        <v>462</v>
      </c>
      <c r="AA26" s="62">
        <v>0</v>
      </c>
      <c r="AB26" s="61">
        <v>0</v>
      </c>
      <c r="AC26" s="61">
        <v>0</v>
      </c>
    </row>
    <row r="27" spans="1:29" x14ac:dyDescent="0.2">
      <c r="A27" s="71">
        <v>25</v>
      </c>
      <c r="B27" s="130">
        <v>43846</v>
      </c>
      <c r="C27" s="131" t="s">
        <v>710</v>
      </c>
      <c r="D27" s="126">
        <v>1</v>
      </c>
      <c r="E27" s="126">
        <v>2</v>
      </c>
      <c r="F27" s="126">
        <v>6</v>
      </c>
      <c r="G27" s="126">
        <v>9</v>
      </c>
      <c r="H27" s="126">
        <v>11</v>
      </c>
      <c r="I27" s="126">
        <v>15</v>
      </c>
      <c r="J27" s="126">
        <v>16</v>
      </c>
      <c r="K27" s="126">
        <v>19</v>
      </c>
      <c r="L27" s="126">
        <v>30</v>
      </c>
      <c r="M27" s="126">
        <v>38</v>
      </c>
      <c r="N27" s="126">
        <v>41</v>
      </c>
      <c r="O27" s="180"/>
      <c r="P27" s="61">
        <v>1</v>
      </c>
      <c r="Z27" s="62">
        <v>462</v>
      </c>
      <c r="AA27" s="62">
        <v>0</v>
      </c>
      <c r="AB27" s="61">
        <v>1</v>
      </c>
      <c r="AC27" s="61">
        <v>200</v>
      </c>
    </row>
    <row r="28" spans="1:29" x14ac:dyDescent="0.2">
      <c r="A28" s="71">
        <v>26</v>
      </c>
      <c r="B28" s="120">
        <v>43846</v>
      </c>
      <c r="C28" s="121" t="s">
        <v>711</v>
      </c>
      <c r="D28" s="76">
        <v>2</v>
      </c>
      <c r="E28" s="76">
        <v>4</v>
      </c>
      <c r="F28" s="76">
        <v>5</v>
      </c>
      <c r="G28" s="76">
        <v>8</v>
      </c>
      <c r="H28" s="76">
        <v>22</v>
      </c>
      <c r="I28" s="76">
        <v>24</v>
      </c>
      <c r="J28" s="76">
        <v>27</v>
      </c>
      <c r="K28" s="76">
        <v>42</v>
      </c>
      <c r="L28" s="76">
        <v>45</v>
      </c>
      <c r="M28" s="76">
        <v>46</v>
      </c>
      <c r="N28" s="76">
        <v>47</v>
      </c>
      <c r="O28" s="180"/>
      <c r="P28" s="61">
        <v>1</v>
      </c>
      <c r="Z28" s="62">
        <v>462</v>
      </c>
      <c r="AA28" s="62">
        <v>0</v>
      </c>
      <c r="AB28" s="61">
        <v>1</v>
      </c>
      <c r="AC28" s="61">
        <v>200</v>
      </c>
    </row>
    <row r="29" spans="1:29" x14ac:dyDescent="0.2">
      <c r="A29" s="71">
        <v>27</v>
      </c>
      <c r="B29" s="132">
        <v>43846</v>
      </c>
      <c r="C29" s="133" t="s">
        <v>720</v>
      </c>
      <c r="D29" s="134">
        <v>10</v>
      </c>
      <c r="E29" s="134">
        <v>11</v>
      </c>
      <c r="F29" s="134">
        <v>19</v>
      </c>
      <c r="G29" s="134">
        <v>26</v>
      </c>
      <c r="H29" s="134">
        <v>31</v>
      </c>
      <c r="I29" s="134">
        <v>37</v>
      </c>
      <c r="J29" s="134">
        <v>38</v>
      </c>
      <c r="K29" s="134">
        <v>42</v>
      </c>
      <c r="L29" s="134">
        <v>44</v>
      </c>
      <c r="M29" s="134">
        <v>45</v>
      </c>
      <c r="N29" s="134">
        <v>47</v>
      </c>
      <c r="O29" s="180"/>
      <c r="P29" s="165" t="s">
        <v>717</v>
      </c>
      <c r="Z29" s="62">
        <v>462</v>
      </c>
      <c r="AA29" s="62">
        <v>448</v>
      </c>
      <c r="AB29" s="61">
        <v>1</v>
      </c>
      <c r="AC29" s="61">
        <v>900</v>
      </c>
    </row>
    <row r="30" spans="1:29" x14ac:dyDescent="0.2">
      <c r="A30" s="71">
        <v>28</v>
      </c>
      <c r="B30" s="130">
        <v>43848</v>
      </c>
      <c r="C30" s="131" t="s">
        <v>710</v>
      </c>
      <c r="D30" s="126">
        <v>2</v>
      </c>
      <c r="E30" s="126">
        <v>9</v>
      </c>
      <c r="F30" s="126">
        <v>11</v>
      </c>
      <c r="G30" s="126">
        <v>15</v>
      </c>
      <c r="H30" s="126">
        <v>16</v>
      </c>
      <c r="I30" s="126">
        <v>19</v>
      </c>
      <c r="J30" s="126">
        <v>23</v>
      </c>
      <c r="K30" s="126">
        <v>31</v>
      </c>
      <c r="L30" s="126">
        <v>34</v>
      </c>
      <c r="M30" s="126">
        <v>38</v>
      </c>
      <c r="N30" s="126">
        <v>41</v>
      </c>
      <c r="O30" s="180"/>
      <c r="P30" s="165" t="s">
        <v>717</v>
      </c>
      <c r="Z30" s="62">
        <v>462</v>
      </c>
      <c r="AA30" s="62">
        <v>448</v>
      </c>
      <c r="AB30" s="61">
        <v>1</v>
      </c>
      <c r="AC30" s="61">
        <v>800</v>
      </c>
    </row>
    <row r="31" spans="1:29" x14ac:dyDescent="0.2">
      <c r="A31" s="71">
        <v>29</v>
      </c>
      <c r="B31" s="120">
        <v>43848</v>
      </c>
      <c r="C31" s="121" t="s">
        <v>711</v>
      </c>
      <c r="D31" s="76">
        <v>2</v>
      </c>
      <c r="E31" s="76">
        <v>4</v>
      </c>
      <c r="F31" s="76">
        <v>8</v>
      </c>
      <c r="G31" s="76">
        <v>12</v>
      </c>
      <c r="H31" s="76">
        <v>22</v>
      </c>
      <c r="I31" s="76">
        <v>23</v>
      </c>
      <c r="J31" s="76">
        <v>25</v>
      </c>
      <c r="K31" s="76">
        <v>27</v>
      </c>
      <c r="L31" s="76">
        <v>34</v>
      </c>
      <c r="M31" s="76">
        <v>44</v>
      </c>
      <c r="N31" s="76">
        <v>48</v>
      </c>
      <c r="O31" s="180"/>
      <c r="P31" s="61">
        <v>2</v>
      </c>
      <c r="Z31" s="62">
        <v>462</v>
      </c>
      <c r="AA31" s="62">
        <v>0</v>
      </c>
      <c r="AB31" s="61">
        <v>1</v>
      </c>
      <c r="AC31" s="61">
        <v>400</v>
      </c>
    </row>
    <row r="32" spans="1:29" x14ac:dyDescent="0.2">
      <c r="A32" s="71">
        <v>30</v>
      </c>
      <c r="B32" s="132">
        <v>43848</v>
      </c>
      <c r="C32" s="133" t="s">
        <v>720</v>
      </c>
      <c r="D32" s="134">
        <v>10</v>
      </c>
      <c r="E32" s="134">
        <v>15</v>
      </c>
      <c r="F32" s="134">
        <v>18</v>
      </c>
      <c r="G32" s="134">
        <v>22</v>
      </c>
      <c r="H32" s="134">
        <v>26</v>
      </c>
      <c r="I32" s="134">
        <v>30</v>
      </c>
      <c r="J32" s="134">
        <v>31</v>
      </c>
      <c r="K32" s="134">
        <v>38</v>
      </c>
      <c r="L32" s="134">
        <v>41</v>
      </c>
      <c r="M32" s="134">
        <v>46</v>
      </c>
      <c r="N32" s="134">
        <v>47</v>
      </c>
      <c r="O32" s="180"/>
      <c r="P32" s="61">
        <v>1</v>
      </c>
      <c r="Z32" s="62">
        <v>462</v>
      </c>
      <c r="AA32" s="62">
        <v>0</v>
      </c>
      <c r="AB32" s="61">
        <v>1</v>
      </c>
      <c r="AC32" s="61">
        <v>200</v>
      </c>
    </row>
    <row r="33" spans="1:29" x14ac:dyDescent="0.2">
      <c r="A33" s="71">
        <v>31</v>
      </c>
      <c r="B33" s="130">
        <v>43853</v>
      </c>
      <c r="C33" s="131" t="s">
        <v>710</v>
      </c>
      <c r="D33" s="126">
        <v>2</v>
      </c>
      <c r="E33" s="126">
        <v>11</v>
      </c>
      <c r="F33" s="126">
        <v>14</v>
      </c>
      <c r="G33" s="126">
        <v>15</v>
      </c>
      <c r="H33" s="126">
        <v>16</v>
      </c>
      <c r="I33" s="126">
        <v>19</v>
      </c>
      <c r="J33" s="126">
        <v>23</v>
      </c>
      <c r="K33" s="126">
        <v>38</v>
      </c>
      <c r="L33" s="126">
        <v>39</v>
      </c>
      <c r="M33" s="126">
        <v>41</v>
      </c>
      <c r="N33" s="126">
        <v>45</v>
      </c>
      <c r="O33" s="180"/>
      <c r="P33" s="61">
        <v>1</v>
      </c>
      <c r="Z33" s="62">
        <v>462</v>
      </c>
      <c r="AA33" s="62">
        <v>0</v>
      </c>
      <c r="AB33" s="61">
        <v>1</v>
      </c>
      <c r="AC33" s="61">
        <v>200</v>
      </c>
    </row>
    <row r="34" spans="1:29" x14ac:dyDescent="0.2">
      <c r="A34" s="71">
        <v>32</v>
      </c>
      <c r="B34" s="120">
        <v>43853</v>
      </c>
      <c r="C34" s="121" t="s">
        <v>711</v>
      </c>
      <c r="D34" s="76">
        <v>2</v>
      </c>
      <c r="E34" s="76">
        <v>3</v>
      </c>
      <c r="F34" s="76">
        <v>12</v>
      </c>
      <c r="G34" s="76">
        <v>13</v>
      </c>
      <c r="H34" s="76">
        <v>14</v>
      </c>
      <c r="I34" s="76">
        <v>15</v>
      </c>
      <c r="J34" s="76">
        <v>19</v>
      </c>
      <c r="K34" s="76">
        <v>34</v>
      </c>
      <c r="L34" s="76">
        <v>36</v>
      </c>
      <c r="M34" s="76">
        <v>41</v>
      </c>
      <c r="N34" s="76">
        <v>48</v>
      </c>
      <c r="O34" s="180"/>
      <c r="P34" s="61">
        <v>1</v>
      </c>
      <c r="Z34" s="62">
        <v>462</v>
      </c>
      <c r="AA34" s="62">
        <v>0</v>
      </c>
      <c r="AB34" s="61">
        <v>1</v>
      </c>
      <c r="AC34" s="61">
        <v>200</v>
      </c>
    </row>
    <row r="35" spans="1:29" x14ac:dyDescent="0.2">
      <c r="A35" s="71">
        <v>33</v>
      </c>
      <c r="B35" s="132">
        <v>43853</v>
      </c>
      <c r="C35" s="133" t="s">
        <v>720</v>
      </c>
      <c r="D35" s="134">
        <v>10</v>
      </c>
      <c r="E35" s="134">
        <v>18</v>
      </c>
      <c r="F35" s="134">
        <v>19</v>
      </c>
      <c r="G35" s="134">
        <v>23</v>
      </c>
      <c r="H35" s="134">
        <v>25</v>
      </c>
      <c r="I35" s="134">
        <v>26</v>
      </c>
      <c r="J35" s="134">
        <v>29</v>
      </c>
      <c r="K35" s="134">
        <v>30</v>
      </c>
      <c r="L35" s="134">
        <v>34</v>
      </c>
      <c r="M35" s="134">
        <v>39</v>
      </c>
      <c r="N35" s="134">
        <v>47</v>
      </c>
      <c r="O35" s="180"/>
      <c r="P35" s="61">
        <v>1</v>
      </c>
      <c r="Z35" s="62">
        <v>462</v>
      </c>
      <c r="AA35" s="62">
        <v>0</v>
      </c>
      <c r="AB35" s="61">
        <v>1</v>
      </c>
      <c r="AC35" s="61">
        <v>200</v>
      </c>
    </row>
    <row r="36" spans="1:29" x14ac:dyDescent="0.2">
      <c r="A36" s="71">
        <v>34</v>
      </c>
      <c r="B36" s="130">
        <v>43856</v>
      </c>
      <c r="C36" s="131" t="s">
        <v>710</v>
      </c>
      <c r="D36" s="126">
        <v>2</v>
      </c>
      <c r="E36" s="126">
        <v>9</v>
      </c>
      <c r="F36" s="126">
        <v>10</v>
      </c>
      <c r="G36" s="126">
        <v>11</v>
      </c>
      <c r="H36" s="126">
        <v>14</v>
      </c>
      <c r="I36" s="126">
        <v>15</v>
      </c>
      <c r="J36" s="126">
        <v>18</v>
      </c>
      <c r="K36" s="126">
        <v>39</v>
      </c>
      <c r="L36" s="126">
        <v>41</v>
      </c>
      <c r="M36" s="126">
        <v>43</v>
      </c>
      <c r="N36" s="126">
        <v>45</v>
      </c>
      <c r="O36" s="180"/>
      <c r="P36" s="61">
        <v>2</v>
      </c>
      <c r="Z36" s="62">
        <v>462</v>
      </c>
      <c r="AA36" s="62">
        <v>0</v>
      </c>
      <c r="AB36" s="61">
        <v>1</v>
      </c>
      <c r="AC36" s="61">
        <v>400</v>
      </c>
    </row>
    <row r="37" spans="1:29" x14ac:dyDescent="0.2">
      <c r="A37" s="71">
        <v>35</v>
      </c>
      <c r="B37" s="120">
        <v>43856</v>
      </c>
      <c r="C37" s="121" t="s">
        <v>711</v>
      </c>
      <c r="D37" s="76">
        <v>4</v>
      </c>
      <c r="E37" s="76">
        <v>8</v>
      </c>
      <c r="F37" s="76">
        <v>11</v>
      </c>
      <c r="G37" s="76">
        <v>12</v>
      </c>
      <c r="H37" s="76">
        <v>14</v>
      </c>
      <c r="I37" s="76">
        <v>23</v>
      </c>
      <c r="J37" s="76">
        <v>25</v>
      </c>
      <c r="K37" s="76">
        <v>36</v>
      </c>
      <c r="L37" s="76">
        <v>39</v>
      </c>
      <c r="M37" s="76">
        <v>45</v>
      </c>
      <c r="N37" s="76">
        <v>46</v>
      </c>
      <c r="O37" s="180"/>
      <c r="P37" s="61">
        <v>1</v>
      </c>
      <c r="Z37" s="62">
        <v>462</v>
      </c>
      <c r="AA37" s="62">
        <v>0</v>
      </c>
      <c r="AB37" s="61">
        <v>1</v>
      </c>
      <c r="AC37" s="61">
        <v>200</v>
      </c>
    </row>
    <row r="38" spans="1:29" x14ac:dyDescent="0.2">
      <c r="A38" s="71">
        <v>36</v>
      </c>
      <c r="B38" s="132">
        <v>43856</v>
      </c>
      <c r="C38" s="133" t="s">
        <v>720</v>
      </c>
      <c r="D38" s="134">
        <v>5</v>
      </c>
      <c r="E38" s="134">
        <v>10</v>
      </c>
      <c r="F38" s="134">
        <v>12</v>
      </c>
      <c r="G38" s="134">
        <v>14</v>
      </c>
      <c r="H38" s="134">
        <v>18</v>
      </c>
      <c r="I38" s="134">
        <v>23</v>
      </c>
      <c r="J38" s="134">
        <v>29</v>
      </c>
      <c r="K38" s="134">
        <v>30</v>
      </c>
      <c r="L38" s="134">
        <v>34</v>
      </c>
      <c r="M38" s="134">
        <v>44</v>
      </c>
      <c r="N38" s="134">
        <v>48</v>
      </c>
      <c r="O38" s="180"/>
      <c r="P38" s="61">
        <v>2</v>
      </c>
      <c r="Z38" s="62">
        <v>462</v>
      </c>
      <c r="AA38" s="62">
        <v>0</v>
      </c>
      <c r="AB38" s="61">
        <v>1</v>
      </c>
      <c r="AC38" s="61">
        <v>400</v>
      </c>
    </row>
    <row r="39" spans="1:29" x14ac:dyDescent="0.2">
      <c r="A39" s="71">
        <v>37</v>
      </c>
      <c r="B39" s="130">
        <v>43860</v>
      </c>
      <c r="C39" s="131" t="s">
        <v>710</v>
      </c>
      <c r="D39" s="126">
        <v>2</v>
      </c>
      <c r="E39" s="126">
        <v>9</v>
      </c>
      <c r="F39" s="126">
        <v>10</v>
      </c>
      <c r="G39" s="126">
        <v>11</v>
      </c>
      <c r="H39" s="126">
        <v>15</v>
      </c>
      <c r="I39" s="126">
        <v>19</v>
      </c>
      <c r="J39" s="126">
        <v>29</v>
      </c>
      <c r="K39" s="126">
        <v>38</v>
      </c>
      <c r="L39" s="126">
        <v>39</v>
      </c>
      <c r="M39" s="126">
        <v>43</v>
      </c>
      <c r="N39" s="126">
        <v>45</v>
      </c>
      <c r="O39" s="180"/>
      <c r="P39" s="61">
        <v>2</v>
      </c>
      <c r="Z39" s="62">
        <v>462</v>
      </c>
      <c r="AA39" s="62">
        <v>0</v>
      </c>
      <c r="AB39" s="61">
        <v>1</v>
      </c>
      <c r="AC39" s="61">
        <v>400</v>
      </c>
    </row>
    <row r="40" spans="1:29" x14ac:dyDescent="0.2">
      <c r="A40" s="71">
        <v>38</v>
      </c>
      <c r="B40" s="120">
        <v>43860</v>
      </c>
      <c r="C40" s="121" t="s">
        <v>711</v>
      </c>
      <c r="D40" s="76">
        <v>4</v>
      </c>
      <c r="E40" s="76">
        <v>7</v>
      </c>
      <c r="F40" s="76">
        <v>8</v>
      </c>
      <c r="G40" s="76">
        <v>9</v>
      </c>
      <c r="H40" s="76">
        <v>12</v>
      </c>
      <c r="I40" s="76">
        <v>23</v>
      </c>
      <c r="J40" s="76">
        <v>24</v>
      </c>
      <c r="K40" s="76">
        <v>25</v>
      </c>
      <c r="L40" s="76">
        <v>36</v>
      </c>
      <c r="M40" s="76">
        <v>37</v>
      </c>
      <c r="N40" s="76">
        <v>45</v>
      </c>
      <c r="O40" s="180"/>
      <c r="P40" s="165" t="s">
        <v>717</v>
      </c>
      <c r="Z40" s="62">
        <v>462</v>
      </c>
      <c r="AA40" s="62">
        <v>448</v>
      </c>
      <c r="AB40" s="61">
        <v>1</v>
      </c>
      <c r="AC40" s="61">
        <v>800</v>
      </c>
    </row>
    <row r="41" spans="1:29" x14ac:dyDescent="0.2">
      <c r="A41" s="71">
        <v>39</v>
      </c>
      <c r="B41" s="132">
        <v>43860</v>
      </c>
      <c r="C41" s="133" t="s">
        <v>720</v>
      </c>
      <c r="D41" s="134">
        <v>2</v>
      </c>
      <c r="E41" s="134">
        <v>10</v>
      </c>
      <c r="F41" s="134">
        <v>14</v>
      </c>
      <c r="G41" s="134">
        <v>17</v>
      </c>
      <c r="H41" s="134">
        <v>19</v>
      </c>
      <c r="I41" s="134">
        <v>20</v>
      </c>
      <c r="J41" s="134">
        <v>23</v>
      </c>
      <c r="K41" s="134">
        <v>26</v>
      </c>
      <c r="L41" s="134">
        <v>33</v>
      </c>
      <c r="M41" s="134">
        <v>38</v>
      </c>
      <c r="N41" s="134">
        <v>41</v>
      </c>
      <c r="O41" s="180"/>
      <c r="P41" s="61">
        <v>1</v>
      </c>
      <c r="Z41" s="62">
        <v>462</v>
      </c>
      <c r="AA41" s="62">
        <v>0</v>
      </c>
      <c r="AB41" s="61">
        <v>1</v>
      </c>
      <c r="AC41" s="61">
        <v>200</v>
      </c>
    </row>
    <row r="42" spans="1:29" x14ac:dyDescent="0.2">
      <c r="A42" s="71">
        <v>40</v>
      </c>
      <c r="B42" s="130">
        <v>43862</v>
      </c>
      <c r="C42" s="131" t="s">
        <v>710</v>
      </c>
      <c r="D42" s="126">
        <v>2</v>
      </c>
      <c r="E42" s="126">
        <v>9</v>
      </c>
      <c r="F42" s="126">
        <v>10</v>
      </c>
      <c r="G42" s="126">
        <v>11</v>
      </c>
      <c r="H42" s="126">
        <v>15</v>
      </c>
      <c r="I42" s="126">
        <v>22</v>
      </c>
      <c r="J42" s="126">
        <v>28</v>
      </c>
      <c r="K42" s="126">
        <v>38</v>
      </c>
      <c r="L42" s="126">
        <v>39</v>
      </c>
      <c r="M42" s="126">
        <v>43</v>
      </c>
      <c r="N42" s="126">
        <v>45</v>
      </c>
      <c r="O42" s="180"/>
      <c r="P42" s="61">
        <v>2</v>
      </c>
      <c r="Z42" s="62">
        <v>462</v>
      </c>
      <c r="AA42" s="62">
        <v>0</v>
      </c>
      <c r="AB42" s="61">
        <v>1</v>
      </c>
      <c r="AC42" s="61">
        <v>400</v>
      </c>
    </row>
    <row r="43" spans="1:29" x14ac:dyDescent="0.2">
      <c r="A43" s="71">
        <v>41</v>
      </c>
      <c r="B43" s="120">
        <v>43862</v>
      </c>
      <c r="C43" s="121" t="s">
        <v>711</v>
      </c>
      <c r="D43" s="76">
        <v>1</v>
      </c>
      <c r="E43" s="76">
        <v>2</v>
      </c>
      <c r="F43" s="76">
        <v>7</v>
      </c>
      <c r="G43" s="76">
        <v>9</v>
      </c>
      <c r="H43" s="76">
        <v>18</v>
      </c>
      <c r="I43" s="76">
        <v>20</v>
      </c>
      <c r="J43" s="76">
        <v>23</v>
      </c>
      <c r="K43" s="76">
        <v>25</v>
      </c>
      <c r="L43" s="76">
        <v>30</v>
      </c>
      <c r="M43" s="76">
        <v>38</v>
      </c>
      <c r="N43" s="76">
        <v>40</v>
      </c>
      <c r="O43" s="180"/>
      <c r="P43" s="61">
        <v>2</v>
      </c>
      <c r="Z43" s="62">
        <v>462</v>
      </c>
      <c r="AA43" s="62">
        <v>0</v>
      </c>
      <c r="AB43" s="61">
        <v>1</v>
      </c>
      <c r="AC43" s="61">
        <v>400</v>
      </c>
    </row>
    <row r="44" spans="1:29" x14ac:dyDescent="0.2">
      <c r="A44" s="71">
        <v>42</v>
      </c>
      <c r="B44" s="132">
        <v>43862</v>
      </c>
      <c r="C44" s="133" t="s">
        <v>720</v>
      </c>
      <c r="D44" s="134">
        <v>9</v>
      </c>
      <c r="E44" s="134">
        <v>10</v>
      </c>
      <c r="F44" s="134">
        <v>14</v>
      </c>
      <c r="G44" s="134">
        <v>18</v>
      </c>
      <c r="H44" s="134">
        <v>20</v>
      </c>
      <c r="I44" s="134">
        <v>23</v>
      </c>
      <c r="J44" s="134">
        <v>28</v>
      </c>
      <c r="K44" s="134">
        <v>30</v>
      </c>
      <c r="L44" s="134">
        <v>41</v>
      </c>
      <c r="M44" s="134">
        <v>42</v>
      </c>
      <c r="N44" s="134">
        <v>44</v>
      </c>
      <c r="O44" s="180"/>
      <c r="P44" s="61">
        <v>3</v>
      </c>
      <c r="Z44" s="62">
        <v>462</v>
      </c>
      <c r="AA44" s="62">
        <v>0</v>
      </c>
      <c r="AB44" s="61">
        <v>1</v>
      </c>
      <c r="AC44" s="61">
        <v>800</v>
      </c>
    </row>
    <row r="45" spans="1:29" x14ac:dyDescent="0.2">
      <c r="A45" s="71">
        <v>43</v>
      </c>
      <c r="B45" s="130">
        <v>43867</v>
      </c>
      <c r="C45" s="131" t="s">
        <v>710</v>
      </c>
      <c r="D45" s="126">
        <v>2</v>
      </c>
      <c r="E45" s="126">
        <v>7</v>
      </c>
      <c r="F45" s="126">
        <v>9</v>
      </c>
      <c r="G45" s="126">
        <v>10</v>
      </c>
      <c r="H45" s="126">
        <v>11</v>
      </c>
      <c r="I45" s="126">
        <v>15</v>
      </c>
      <c r="J45" s="126">
        <v>28</v>
      </c>
      <c r="K45" s="126">
        <v>38</v>
      </c>
      <c r="L45" s="126">
        <v>41</v>
      </c>
      <c r="M45" s="126">
        <v>43</v>
      </c>
      <c r="N45" s="126">
        <v>45</v>
      </c>
      <c r="O45" s="180"/>
      <c r="P45" s="61">
        <v>2</v>
      </c>
      <c r="Z45" s="62">
        <v>462</v>
      </c>
      <c r="AA45" s="62">
        <v>0</v>
      </c>
      <c r="AB45" s="61">
        <v>1</v>
      </c>
      <c r="AC45" s="61">
        <v>400</v>
      </c>
    </row>
    <row r="46" spans="1:29" x14ac:dyDescent="0.2">
      <c r="A46" s="71">
        <v>44</v>
      </c>
      <c r="B46" s="120">
        <v>43867</v>
      </c>
      <c r="C46" s="121" t="s">
        <v>711</v>
      </c>
      <c r="D46" s="76">
        <v>2</v>
      </c>
      <c r="E46" s="76">
        <v>7</v>
      </c>
      <c r="F46" s="76">
        <v>9</v>
      </c>
      <c r="G46" s="76">
        <v>14</v>
      </c>
      <c r="H46" s="76">
        <v>17</v>
      </c>
      <c r="I46" s="76">
        <v>18</v>
      </c>
      <c r="J46" s="76">
        <v>20</v>
      </c>
      <c r="K46" s="76">
        <v>27</v>
      </c>
      <c r="L46" s="76">
        <v>29</v>
      </c>
      <c r="M46" s="76">
        <v>38</v>
      </c>
      <c r="N46" s="76">
        <v>44</v>
      </c>
      <c r="O46" s="180"/>
      <c r="P46" s="61">
        <v>3</v>
      </c>
      <c r="Z46" s="62">
        <v>462</v>
      </c>
      <c r="AA46" s="62">
        <v>0</v>
      </c>
      <c r="AB46" s="61">
        <v>1</v>
      </c>
      <c r="AC46" s="61">
        <v>800</v>
      </c>
    </row>
    <row r="47" spans="1:29" x14ac:dyDescent="0.2">
      <c r="A47" s="71">
        <v>45</v>
      </c>
      <c r="B47" s="132">
        <v>43867</v>
      </c>
      <c r="C47" s="133" t="s">
        <v>720</v>
      </c>
      <c r="D47" s="134">
        <v>3</v>
      </c>
      <c r="E47" s="134">
        <v>10</v>
      </c>
      <c r="F47" s="134">
        <v>12</v>
      </c>
      <c r="G47" s="134">
        <v>14</v>
      </c>
      <c r="H47" s="134">
        <v>22</v>
      </c>
      <c r="I47" s="134">
        <v>26</v>
      </c>
      <c r="J47" s="134">
        <v>28</v>
      </c>
      <c r="K47" s="134">
        <v>36</v>
      </c>
      <c r="L47" s="134">
        <v>37</v>
      </c>
      <c r="M47" s="134">
        <v>42</v>
      </c>
      <c r="N47" s="134">
        <v>44</v>
      </c>
      <c r="O47" s="180"/>
      <c r="P47" s="61">
        <v>2</v>
      </c>
      <c r="Z47" s="62">
        <v>462</v>
      </c>
      <c r="AA47" s="62">
        <v>0</v>
      </c>
      <c r="AB47" s="61">
        <v>1</v>
      </c>
      <c r="AC47" s="61">
        <v>400</v>
      </c>
    </row>
    <row r="48" spans="1:29" x14ac:dyDescent="0.2">
      <c r="A48" s="71">
        <v>46</v>
      </c>
      <c r="B48" s="132">
        <v>43869</v>
      </c>
      <c r="C48" s="133" t="s">
        <v>710</v>
      </c>
      <c r="D48" s="134">
        <v>2</v>
      </c>
      <c r="E48" s="134">
        <v>10</v>
      </c>
      <c r="F48" s="134">
        <v>11</v>
      </c>
      <c r="G48" s="134">
        <v>15</v>
      </c>
      <c r="H48" s="134">
        <v>28</v>
      </c>
      <c r="I48" s="134">
        <v>16</v>
      </c>
      <c r="J48" s="134">
        <v>9</v>
      </c>
      <c r="K48" s="134">
        <v>41</v>
      </c>
      <c r="L48" s="134">
        <v>43</v>
      </c>
      <c r="M48" s="134">
        <v>13</v>
      </c>
      <c r="N48" s="134">
        <v>18</v>
      </c>
      <c r="O48" s="180"/>
      <c r="P48" s="61">
        <v>1</v>
      </c>
      <c r="Z48" s="62">
        <v>462</v>
      </c>
      <c r="AA48" s="62">
        <v>0</v>
      </c>
      <c r="AB48" s="61">
        <v>1</v>
      </c>
      <c r="AC48" s="61">
        <v>200</v>
      </c>
    </row>
    <row r="49" spans="1:29" x14ac:dyDescent="0.2">
      <c r="A49" s="71">
        <v>47</v>
      </c>
      <c r="B49" s="130">
        <v>43869</v>
      </c>
      <c r="C49" s="131" t="s">
        <v>711</v>
      </c>
      <c r="D49" s="126">
        <v>3</v>
      </c>
      <c r="E49" s="126">
        <v>7</v>
      </c>
      <c r="F49" s="126">
        <v>9</v>
      </c>
      <c r="G49" s="126">
        <v>17</v>
      </c>
      <c r="H49" s="126">
        <v>19</v>
      </c>
      <c r="I49" s="126">
        <v>20</v>
      </c>
      <c r="J49" s="126">
        <v>27</v>
      </c>
      <c r="K49" s="126">
        <v>29</v>
      </c>
      <c r="L49" s="126">
        <v>34</v>
      </c>
      <c r="M49" s="126">
        <v>42</v>
      </c>
      <c r="N49" s="126">
        <v>46</v>
      </c>
      <c r="O49" s="180"/>
      <c r="P49" s="165" t="s">
        <v>717</v>
      </c>
      <c r="Z49" s="62">
        <v>462</v>
      </c>
      <c r="AA49" s="62">
        <v>448</v>
      </c>
      <c r="AB49" s="61">
        <v>1</v>
      </c>
      <c r="AC49" s="61">
        <v>800</v>
      </c>
    </row>
    <row r="50" spans="1:29" x14ac:dyDescent="0.2">
      <c r="A50" s="71">
        <v>48</v>
      </c>
      <c r="B50" s="120">
        <v>43869</v>
      </c>
      <c r="C50" s="121" t="s">
        <v>720</v>
      </c>
      <c r="D50" s="76">
        <v>7</v>
      </c>
      <c r="E50" s="76">
        <v>10</v>
      </c>
      <c r="F50" s="76">
        <v>15</v>
      </c>
      <c r="G50" s="76">
        <v>20</v>
      </c>
      <c r="H50" s="76">
        <v>22</v>
      </c>
      <c r="I50" s="76">
        <v>23</v>
      </c>
      <c r="J50" s="76">
        <v>26</v>
      </c>
      <c r="K50" s="76">
        <v>28</v>
      </c>
      <c r="L50" s="76">
        <v>41</v>
      </c>
      <c r="M50" s="76">
        <v>42</v>
      </c>
      <c r="N50" s="76">
        <v>47</v>
      </c>
      <c r="O50" s="180"/>
      <c r="P50" s="61">
        <v>1</v>
      </c>
      <c r="Z50" s="62">
        <v>462</v>
      </c>
      <c r="AA50" s="62">
        <v>0</v>
      </c>
      <c r="AB50" s="61">
        <v>1</v>
      </c>
      <c r="AC50" s="61">
        <v>200</v>
      </c>
    </row>
    <row r="51" spans="1:29" x14ac:dyDescent="0.2">
      <c r="A51" s="71">
        <v>49</v>
      </c>
      <c r="B51" s="132">
        <v>43874</v>
      </c>
      <c r="C51" s="133" t="s">
        <v>710</v>
      </c>
      <c r="D51" s="134">
        <v>2</v>
      </c>
      <c r="E51" s="134">
        <v>9</v>
      </c>
      <c r="F51" s="134">
        <v>10</v>
      </c>
      <c r="G51" s="134">
        <v>11</v>
      </c>
      <c r="H51" s="134">
        <v>13</v>
      </c>
      <c r="I51" s="134">
        <v>15</v>
      </c>
      <c r="J51" s="134">
        <v>16</v>
      </c>
      <c r="K51" s="134">
        <v>25</v>
      </c>
      <c r="L51" s="134">
        <v>41</v>
      </c>
      <c r="M51" s="134">
        <v>43</v>
      </c>
      <c r="N51" s="134">
        <v>45</v>
      </c>
      <c r="O51" s="180"/>
      <c r="P51" s="61">
        <v>2</v>
      </c>
      <c r="Z51" s="62">
        <v>462</v>
      </c>
      <c r="AA51" s="62">
        <v>0</v>
      </c>
      <c r="AB51" s="61">
        <v>1</v>
      </c>
      <c r="AC51" s="61">
        <v>400</v>
      </c>
    </row>
    <row r="52" spans="1:29" x14ac:dyDescent="0.2">
      <c r="A52" s="71">
        <v>50</v>
      </c>
      <c r="B52" s="130">
        <v>43874</v>
      </c>
      <c r="C52" s="131" t="s">
        <v>711</v>
      </c>
      <c r="D52" s="126">
        <v>7</v>
      </c>
      <c r="E52" s="126">
        <v>9</v>
      </c>
      <c r="F52" s="126">
        <v>15</v>
      </c>
      <c r="G52" s="126">
        <v>17</v>
      </c>
      <c r="H52" s="126">
        <v>19</v>
      </c>
      <c r="I52" s="126">
        <v>25</v>
      </c>
      <c r="J52" s="126">
        <v>30</v>
      </c>
      <c r="K52" s="126">
        <v>40</v>
      </c>
      <c r="L52" s="126">
        <v>41</v>
      </c>
      <c r="M52" s="126">
        <v>42</v>
      </c>
      <c r="N52" s="126">
        <v>49</v>
      </c>
      <c r="O52" s="180"/>
      <c r="P52" s="61">
        <v>1</v>
      </c>
      <c r="Z52" s="62">
        <v>462</v>
      </c>
      <c r="AA52" s="62">
        <v>0</v>
      </c>
      <c r="AB52" s="61">
        <v>1</v>
      </c>
      <c r="AC52" s="61">
        <v>200</v>
      </c>
    </row>
    <row r="53" spans="1:29" x14ac:dyDescent="0.2">
      <c r="A53" s="71">
        <v>51</v>
      </c>
      <c r="B53" s="120">
        <v>43874</v>
      </c>
      <c r="C53" s="121" t="s">
        <v>720</v>
      </c>
      <c r="D53" s="76">
        <v>7</v>
      </c>
      <c r="E53" s="76">
        <v>10</v>
      </c>
      <c r="F53" s="76">
        <v>12</v>
      </c>
      <c r="G53" s="76">
        <v>14</v>
      </c>
      <c r="H53" s="76">
        <v>15</v>
      </c>
      <c r="I53" s="76">
        <v>20</v>
      </c>
      <c r="J53" s="76">
        <v>22</v>
      </c>
      <c r="K53" s="76">
        <v>27</v>
      </c>
      <c r="L53" s="76">
        <v>30</v>
      </c>
      <c r="M53" s="76">
        <v>34</v>
      </c>
      <c r="N53" s="76">
        <v>40</v>
      </c>
      <c r="O53" s="180"/>
      <c r="P53" s="61">
        <v>2</v>
      </c>
      <c r="Z53" s="62">
        <v>462</v>
      </c>
      <c r="AA53" s="62">
        <v>0</v>
      </c>
      <c r="AB53" s="61">
        <v>1</v>
      </c>
      <c r="AC53" s="61">
        <v>400</v>
      </c>
    </row>
    <row r="54" spans="1:29" x14ac:dyDescent="0.2">
      <c r="A54" s="71">
        <v>52</v>
      </c>
      <c r="B54" s="132">
        <v>43876</v>
      </c>
      <c r="C54" s="133" t="s">
        <v>710</v>
      </c>
      <c r="D54" s="134">
        <v>2</v>
      </c>
      <c r="E54" s="134">
        <v>9</v>
      </c>
      <c r="F54" s="134">
        <v>10</v>
      </c>
      <c r="G54" s="134">
        <v>11</v>
      </c>
      <c r="H54" s="134">
        <v>12</v>
      </c>
      <c r="I54" s="134">
        <v>13</v>
      </c>
      <c r="J54" s="134">
        <v>15</v>
      </c>
      <c r="K54" s="134">
        <v>16</v>
      </c>
      <c r="L54" s="134">
        <v>41</v>
      </c>
      <c r="M54" s="134">
        <v>43</v>
      </c>
      <c r="N54" s="134">
        <v>44</v>
      </c>
      <c r="O54" s="180"/>
      <c r="P54" s="61">
        <v>2</v>
      </c>
      <c r="Z54" s="62">
        <v>462</v>
      </c>
      <c r="AA54" s="62">
        <v>0</v>
      </c>
      <c r="AB54" s="61">
        <v>1</v>
      </c>
      <c r="AC54" s="61">
        <v>400</v>
      </c>
    </row>
    <row r="55" spans="1:29" x14ac:dyDescent="0.2">
      <c r="A55" s="71">
        <v>53</v>
      </c>
      <c r="B55" s="130">
        <v>43876</v>
      </c>
      <c r="C55" s="131" t="s">
        <v>711</v>
      </c>
      <c r="D55" s="126">
        <v>12</v>
      </c>
      <c r="E55" s="126">
        <v>13</v>
      </c>
      <c r="F55" s="126">
        <v>14</v>
      </c>
      <c r="G55" s="126">
        <v>15</v>
      </c>
      <c r="H55" s="126">
        <v>16</v>
      </c>
      <c r="I55" s="126">
        <v>25</v>
      </c>
      <c r="J55" s="126">
        <v>33</v>
      </c>
      <c r="K55" s="126">
        <v>39</v>
      </c>
      <c r="L55" s="126">
        <v>42</v>
      </c>
      <c r="M55" s="126">
        <v>47</v>
      </c>
      <c r="N55" s="126">
        <v>49</v>
      </c>
      <c r="O55" s="180"/>
      <c r="Z55" s="62">
        <v>462</v>
      </c>
      <c r="AA55" s="62">
        <v>0</v>
      </c>
      <c r="AB55" s="61">
        <v>0</v>
      </c>
      <c r="AC55" s="61">
        <v>0</v>
      </c>
    </row>
    <row r="56" spans="1:29" x14ac:dyDescent="0.2">
      <c r="A56" s="71">
        <v>54</v>
      </c>
      <c r="B56" s="120">
        <v>43876</v>
      </c>
      <c r="C56" s="121" t="s">
        <v>720</v>
      </c>
      <c r="D56" s="76">
        <v>3</v>
      </c>
      <c r="E56" s="76">
        <v>7</v>
      </c>
      <c r="F56" s="76">
        <v>10</v>
      </c>
      <c r="G56" s="76">
        <v>11</v>
      </c>
      <c r="H56" s="76">
        <v>22</v>
      </c>
      <c r="I56" s="76">
        <v>26</v>
      </c>
      <c r="J56" s="76">
        <v>27</v>
      </c>
      <c r="K56" s="76">
        <v>30</v>
      </c>
      <c r="L56" s="76">
        <v>34</v>
      </c>
      <c r="M56" s="76">
        <v>42</v>
      </c>
      <c r="N56" s="76">
        <v>45</v>
      </c>
      <c r="O56" s="180"/>
      <c r="P56" s="61">
        <v>2</v>
      </c>
      <c r="Z56" s="62">
        <v>462</v>
      </c>
      <c r="AA56" s="62">
        <v>0</v>
      </c>
      <c r="AB56" s="61">
        <v>1</v>
      </c>
      <c r="AC56" s="61">
        <v>400</v>
      </c>
    </row>
    <row r="57" spans="1:29" x14ac:dyDescent="0.2">
      <c r="A57" s="71">
        <v>55</v>
      </c>
      <c r="B57" s="132">
        <v>43881</v>
      </c>
      <c r="C57" s="133" t="s">
        <v>710</v>
      </c>
      <c r="D57" s="134">
        <v>2</v>
      </c>
      <c r="E57" s="134">
        <v>7</v>
      </c>
      <c r="F57" s="134">
        <v>9</v>
      </c>
      <c r="G57" s="134">
        <v>10</v>
      </c>
      <c r="H57" s="134">
        <v>11</v>
      </c>
      <c r="I57" s="134">
        <v>15</v>
      </c>
      <c r="J57" s="134">
        <v>16</v>
      </c>
      <c r="K57" s="134">
        <v>30</v>
      </c>
      <c r="L57" s="134">
        <v>39</v>
      </c>
      <c r="M57" s="134">
        <v>41</v>
      </c>
      <c r="N57" s="134">
        <v>44</v>
      </c>
      <c r="O57" s="180"/>
      <c r="P57" s="61">
        <v>2</v>
      </c>
      <c r="Z57" s="62">
        <v>462</v>
      </c>
      <c r="AA57" s="62">
        <v>0</v>
      </c>
      <c r="AB57" s="61">
        <v>1</v>
      </c>
      <c r="AC57" s="61">
        <v>400</v>
      </c>
    </row>
    <row r="58" spans="1:29" x14ac:dyDescent="0.2">
      <c r="A58" s="71">
        <v>56</v>
      </c>
      <c r="B58" s="130">
        <v>43881</v>
      </c>
      <c r="C58" s="131" t="s">
        <v>711</v>
      </c>
      <c r="D58" s="126">
        <v>4</v>
      </c>
      <c r="E58" s="126">
        <v>12</v>
      </c>
      <c r="F58" s="126">
        <v>14</v>
      </c>
      <c r="G58" s="126">
        <v>15</v>
      </c>
      <c r="H58" s="126">
        <v>16</v>
      </c>
      <c r="I58" s="126">
        <v>17</v>
      </c>
      <c r="J58" s="126">
        <v>20</v>
      </c>
      <c r="K58" s="126">
        <v>33</v>
      </c>
      <c r="L58" s="126">
        <v>42</v>
      </c>
      <c r="M58" s="126">
        <v>47</v>
      </c>
      <c r="N58" s="126">
        <v>49</v>
      </c>
      <c r="O58" s="180"/>
      <c r="P58" s="61">
        <v>1</v>
      </c>
      <c r="Z58" s="62">
        <v>462</v>
      </c>
      <c r="AA58" s="62">
        <v>0</v>
      </c>
      <c r="AB58" s="61">
        <v>1</v>
      </c>
      <c r="AC58" s="61">
        <v>200</v>
      </c>
    </row>
    <row r="59" spans="1:29" x14ac:dyDescent="0.2">
      <c r="A59" s="71">
        <v>57</v>
      </c>
      <c r="B59" s="120">
        <v>43881</v>
      </c>
      <c r="C59" s="121" t="s">
        <v>720</v>
      </c>
      <c r="D59" s="76">
        <v>3</v>
      </c>
      <c r="E59" s="76">
        <v>12</v>
      </c>
      <c r="F59" s="76">
        <v>14</v>
      </c>
      <c r="G59" s="76">
        <v>20</v>
      </c>
      <c r="H59" s="76">
        <v>22</v>
      </c>
      <c r="I59" s="76">
        <v>25</v>
      </c>
      <c r="J59" s="76">
        <v>30</v>
      </c>
      <c r="K59" s="76">
        <v>34</v>
      </c>
      <c r="L59" s="76">
        <v>41</v>
      </c>
      <c r="M59" s="76">
        <v>45</v>
      </c>
      <c r="N59" s="76">
        <v>46</v>
      </c>
      <c r="O59" s="180"/>
      <c r="P59" s="165" t="s">
        <v>717</v>
      </c>
      <c r="Z59" s="62">
        <v>462</v>
      </c>
      <c r="AA59" s="62">
        <v>448</v>
      </c>
      <c r="AB59" s="61">
        <v>1</v>
      </c>
      <c r="AC59" s="61">
        <v>800</v>
      </c>
    </row>
    <row r="60" spans="1:29" x14ac:dyDescent="0.2">
      <c r="A60" s="71">
        <v>58</v>
      </c>
      <c r="B60" s="132">
        <v>43888</v>
      </c>
      <c r="C60" s="133" t="s">
        <v>710</v>
      </c>
      <c r="D60" s="134">
        <v>2</v>
      </c>
      <c r="E60" s="134">
        <v>7</v>
      </c>
      <c r="F60" s="134">
        <v>9</v>
      </c>
      <c r="G60" s="134">
        <v>10</v>
      </c>
      <c r="H60" s="134">
        <v>12</v>
      </c>
      <c r="I60" s="134">
        <v>15</v>
      </c>
      <c r="J60" s="134">
        <v>16</v>
      </c>
      <c r="K60" s="134">
        <v>18</v>
      </c>
      <c r="L60" s="134">
        <v>25</v>
      </c>
      <c r="M60" s="134">
        <v>26</v>
      </c>
      <c r="N60" s="134">
        <v>45</v>
      </c>
      <c r="O60" s="180"/>
      <c r="P60" s="61">
        <v>2</v>
      </c>
      <c r="Z60" s="62">
        <v>462</v>
      </c>
      <c r="AA60" s="62">
        <v>0</v>
      </c>
      <c r="AB60" s="61">
        <v>1</v>
      </c>
      <c r="AC60" s="61">
        <v>400</v>
      </c>
    </row>
    <row r="61" spans="1:29" x14ac:dyDescent="0.2">
      <c r="A61" s="71">
        <v>59</v>
      </c>
      <c r="B61" s="130">
        <v>43888</v>
      </c>
      <c r="C61" s="131" t="s">
        <v>711</v>
      </c>
      <c r="D61" s="126">
        <v>4</v>
      </c>
      <c r="E61" s="126">
        <v>9</v>
      </c>
      <c r="F61" s="126">
        <v>14</v>
      </c>
      <c r="G61" s="126">
        <v>20</v>
      </c>
      <c r="H61" s="126">
        <v>25</v>
      </c>
      <c r="I61" s="126">
        <v>26</v>
      </c>
      <c r="J61" s="126">
        <v>28</v>
      </c>
      <c r="K61" s="126">
        <v>33</v>
      </c>
      <c r="L61" s="126">
        <v>36</v>
      </c>
      <c r="M61" s="126">
        <v>46</v>
      </c>
      <c r="N61" s="126">
        <v>49</v>
      </c>
      <c r="O61" s="180"/>
      <c r="P61" s="61">
        <v>2</v>
      </c>
      <c r="Z61" s="62">
        <v>462</v>
      </c>
      <c r="AA61" s="62">
        <v>0</v>
      </c>
      <c r="AB61" s="61">
        <v>1</v>
      </c>
      <c r="AC61" s="61">
        <v>400</v>
      </c>
    </row>
    <row r="62" spans="1:29" x14ac:dyDescent="0.2">
      <c r="A62" s="71">
        <v>60</v>
      </c>
      <c r="B62" s="120">
        <v>43888</v>
      </c>
      <c r="C62" s="121" t="s">
        <v>720</v>
      </c>
      <c r="D62" s="76">
        <v>3</v>
      </c>
      <c r="E62" s="76">
        <v>9</v>
      </c>
      <c r="F62" s="76">
        <v>15</v>
      </c>
      <c r="G62" s="76">
        <v>19</v>
      </c>
      <c r="H62" s="76">
        <v>22</v>
      </c>
      <c r="I62" s="76">
        <v>23</v>
      </c>
      <c r="J62" s="76">
        <v>29</v>
      </c>
      <c r="K62" s="76">
        <v>30</v>
      </c>
      <c r="L62" s="76">
        <v>34</v>
      </c>
      <c r="M62" s="76">
        <v>46</v>
      </c>
      <c r="N62" s="76">
        <v>49</v>
      </c>
      <c r="O62" s="180"/>
      <c r="P62" s="61">
        <v>2</v>
      </c>
      <c r="Z62" s="62">
        <v>462</v>
      </c>
      <c r="AA62" s="62">
        <v>0</v>
      </c>
      <c r="AB62" s="61">
        <v>1</v>
      </c>
      <c r="AC62" s="61">
        <v>400</v>
      </c>
    </row>
    <row r="63" spans="1:29" x14ac:dyDescent="0.2">
      <c r="A63" s="71">
        <v>61</v>
      </c>
      <c r="B63" s="132">
        <v>43890</v>
      </c>
      <c r="C63" s="133" t="s">
        <v>710</v>
      </c>
      <c r="D63" s="134">
        <v>2</v>
      </c>
      <c r="E63" s="134">
        <v>7</v>
      </c>
      <c r="F63" s="134">
        <v>9</v>
      </c>
      <c r="G63" s="134">
        <v>12</v>
      </c>
      <c r="H63" s="134">
        <v>15</v>
      </c>
      <c r="I63" s="134">
        <v>16</v>
      </c>
      <c r="J63" s="134">
        <v>18</v>
      </c>
      <c r="K63" s="134">
        <v>19</v>
      </c>
      <c r="L63" s="134">
        <v>25</v>
      </c>
      <c r="M63" s="134">
        <v>26</v>
      </c>
      <c r="N63" s="134">
        <v>45</v>
      </c>
      <c r="O63" s="180"/>
      <c r="P63" s="61">
        <v>2</v>
      </c>
      <c r="Z63" s="62">
        <v>462</v>
      </c>
      <c r="AA63" s="62">
        <v>0</v>
      </c>
      <c r="AB63" s="61">
        <v>1</v>
      </c>
      <c r="AC63" s="61">
        <v>400</v>
      </c>
    </row>
    <row r="64" spans="1:29" x14ac:dyDescent="0.2">
      <c r="A64" s="71">
        <v>62</v>
      </c>
      <c r="B64" s="130">
        <v>43890</v>
      </c>
      <c r="C64" s="131" t="s">
        <v>711</v>
      </c>
      <c r="D64" s="126">
        <v>4</v>
      </c>
      <c r="E64" s="126">
        <v>9</v>
      </c>
      <c r="F64" s="126">
        <v>12</v>
      </c>
      <c r="G64" s="126">
        <v>15</v>
      </c>
      <c r="H64" s="126">
        <v>23</v>
      </c>
      <c r="I64" s="126">
        <v>25</v>
      </c>
      <c r="J64" s="126">
        <v>26</v>
      </c>
      <c r="K64" s="126">
        <v>28</v>
      </c>
      <c r="L64" s="126">
        <v>36</v>
      </c>
      <c r="M64" s="126">
        <v>45</v>
      </c>
      <c r="N64" s="126">
        <v>49</v>
      </c>
      <c r="O64" s="180"/>
      <c r="P64" s="61">
        <v>2</v>
      </c>
      <c r="Z64" s="62">
        <v>462</v>
      </c>
      <c r="AA64" s="62">
        <v>0</v>
      </c>
      <c r="AB64" s="61">
        <v>1</v>
      </c>
      <c r="AC64" s="61">
        <v>400</v>
      </c>
    </row>
    <row r="65" spans="1:29" x14ac:dyDescent="0.2">
      <c r="A65" s="71">
        <v>63</v>
      </c>
      <c r="B65" s="120">
        <v>43890</v>
      </c>
      <c r="C65" s="121" t="s">
        <v>720</v>
      </c>
      <c r="D65" s="76">
        <v>7</v>
      </c>
      <c r="E65" s="76">
        <v>10</v>
      </c>
      <c r="F65" s="76">
        <v>12</v>
      </c>
      <c r="G65" s="76">
        <v>15</v>
      </c>
      <c r="H65" s="76">
        <v>22</v>
      </c>
      <c r="I65" s="76">
        <v>23</v>
      </c>
      <c r="J65" s="76">
        <v>25</v>
      </c>
      <c r="K65" s="76">
        <v>41</v>
      </c>
      <c r="L65" s="76">
        <v>42</v>
      </c>
      <c r="M65" s="76">
        <v>46</v>
      </c>
      <c r="N65" s="76">
        <v>47</v>
      </c>
      <c r="O65" s="180"/>
      <c r="Z65" s="62">
        <v>462</v>
      </c>
      <c r="AA65" s="62">
        <v>0</v>
      </c>
      <c r="AB65" s="61">
        <v>0</v>
      </c>
      <c r="AC65" s="61">
        <v>0</v>
      </c>
    </row>
    <row r="66" spans="1:29" x14ac:dyDescent="0.2">
      <c r="A66" s="71">
        <v>64</v>
      </c>
      <c r="B66" s="132">
        <v>43895</v>
      </c>
      <c r="C66" s="133" t="s">
        <v>710</v>
      </c>
      <c r="D66" s="134">
        <v>2</v>
      </c>
      <c r="E66" s="134">
        <v>7</v>
      </c>
      <c r="F66" s="134">
        <v>9</v>
      </c>
      <c r="G66" s="134">
        <v>12</v>
      </c>
      <c r="H66" s="134">
        <v>15</v>
      </c>
      <c r="I66" s="134">
        <v>16</v>
      </c>
      <c r="J66" s="134">
        <v>18</v>
      </c>
      <c r="K66" s="134">
        <v>19</v>
      </c>
      <c r="L66" s="134">
        <v>26</v>
      </c>
      <c r="M66" s="134">
        <v>44</v>
      </c>
      <c r="N66" s="134">
        <v>45</v>
      </c>
      <c r="O66" s="180"/>
      <c r="P66" s="61">
        <v>3</v>
      </c>
      <c r="Z66" s="62">
        <v>462</v>
      </c>
      <c r="AA66" s="62">
        <v>0</v>
      </c>
      <c r="AB66" s="61">
        <v>1</v>
      </c>
      <c r="AC66" s="61">
        <v>800</v>
      </c>
    </row>
    <row r="67" spans="1:29" x14ac:dyDescent="0.2">
      <c r="A67" s="71">
        <v>65</v>
      </c>
      <c r="B67" s="130">
        <v>43895</v>
      </c>
      <c r="C67" s="131" t="s">
        <v>711</v>
      </c>
      <c r="D67" s="126">
        <v>7</v>
      </c>
      <c r="E67" s="126">
        <v>12</v>
      </c>
      <c r="F67" s="126">
        <v>15</v>
      </c>
      <c r="G67" s="126">
        <v>23</v>
      </c>
      <c r="H67" s="126">
        <v>26</v>
      </c>
      <c r="I67" s="126">
        <v>30</v>
      </c>
      <c r="J67" s="126">
        <v>31</v>
      </c>
      <c r="K67" s="126">
        <v>37</v>
      </c>
      <c r="L67" s="126">
        <v>44</v>
      </c>
      <c r="M67" s="126">
        <v>45</v>
      </c>
      <c r="N67" s="126">
        <v>49</v>
      </c>
      <c r="O67" s="180"/>
      <c r="P67" s="165" t="s">
        <v>717</v>
      </c>
      <c r="Z67" s="62">
        <v>462</v>
      </c>
      <c r="AA67" s="62">
        <v>448</v>
      </c>
      <c r="AB67" s="61">
        <v>1</v>
      </c>
      <c r="AC67" s="61">
        <v>900</v>
      </c>
    </row>
    <row r="68" spans="1:29" x14ac:dyDescent="0.2">
      <c r="A68" s="71">
        <v>66</v>
      </c>
      <c r="B68" s="120">
        <v>43895</v>
      </c>
      <c r="C68" s="121" t="s">
        <v>720</v>
      </c>
      <c r="D68" s="76">
        <v>10</v>
      </c>
      <c r="E68" s="76">
        <v>12</v>
      </c>
      <c r="F68" s="76">
        <v>21</v>
      </c>
      <c r="G68" s="76">
        <v>22</v>
      </c>
      <c r="H68" s="76">
        <v>23</v>
      </c>
      <c r="I68" s="76">
        <v>25</v>
      </c>
      <c r="J68" s="76">
        <v>26</v>
      </c>
      <c r="K68" s="76">
        <v>30</v>
      </c>
      <c r="L68" s="76">
        <v>36</v>
      </c>
      <c r="M68" s="76">
        <v>39</v>
      </c>
      <c r="N68" s="76">
        <v>42</v>
      </c>
      <c r="O68" s="180"/>
      <c r="Z68" s="62">
        <v>462</v>
      </c>
      <c r="AA68" s="62">
        <v>0</v>
      </c>
      <c r="AB68" s="61">
        <v>0</v>
      </c>
      <c r="AC68" s="61">
        <v>0</v>
      </c>
    </row>
    <row r="69" spans="1:29" x14ac:dyDescent="0.2">
      <c r="A69" s="71">
        <v>67</v>
      </c>
      <c r="B69" s="132">
        <v>43897</v>
      </c>
      <c r="C69" s="133" t="s">
        <v>710</v>
      </c>
      <c r="D69" s="134">
        <v>2</v>
      </c>
      <c r="E69" s="134">
        <v>7</v>
      </c>
      <c r="F69" s="134">
        <v>9</v>
      </c>
      <c r="G69" s="134">
        <v>12</v>
      </c>
      <c r="H69" s="134">
        <v>15</v>
      </c>
      <c r="I69" s="134">
        <v>16</v>
      </c>
      <c r="J69" s="134">
        <v>19</v>
      </c>
      <c r="K69" s="134">
        <v>21</v>
      </c>
      <c r="L69" s="134">
        <v>26</v>
      </c>
      <c r="M69" s="134">
        <v>44</v>
      </c>
      <c r="N69" s="134">
        <v>45</v>
      </c>
      <c r="O69" s="180"/>
      <c r="P69" s="61">
        <v>3</v>
      </c>
      <c r="Z69" s="62">
        <v>462</v>
      </c>
      <c r="AA69" s="62">
        <v>0</v>
      </c>
      <c r="AB69" s="61">
        <v>1</v>
      </c>
      <c r="AC69" s="61">
        <v>800</v>
      </c>
    </row>
    <row r="70" spans="1:29" x14ac:dyDescent="0.2">
      <c r="A70" s="71">
        <v>68</v>
      </c>
      <c r="B70" s="130">
        <v>43897</v>
      </c>
      <c r="C70" s="131" t="s">
        <v>711</v>
      </c>
      <c r="D70" s="126">
        <v>7</v>
      </c>
      <c r="E70" s="126">
        <v>11</v>
      </c>
      <c r="F70" s="126">
        <v>16</v>
      </c>
      <c r="G70" s="126">
        <v>18</v>
      </c>
      <c r="H70" s="126">
        <v>23</v>
      </c>
      <c r="I70" s="126">
        <v>30</v>
      </c>
      <c r="J70" s="126">
        <v>31</v>
      </c>
      <c r="K70" s="126">
        <v>37</v>
      </c>
      <c r="L70" s="126">
        <v>42</v>
      </c>
      <c r="M70" s="126">
        <v>45</v>
      </c>
      <c r="N70" s="126">
        <v>49</v>
      </c>
      <c r="O70" s="180"/>
      <c r="P70" s="165" t="s">
        <v>717</v>
      </c>
      <c r="Z70" s="62">
        <v>462</v>
      </c>
      <c r="AA70" s="62">
        <v>448</v>
      </c>
      <c r="AB70" s="61">
        <v>1</v>
      </c>
      <c r="AC70" s="61">
        <v>800</v>
      </c>
    </row>
    <row r="71" spans="1:29" x14ac:dyDescent="0.2">
      <c r="A71" s="71">
        <v>69</v>
      </c>
      <c r="B71" s="120">
        <v>43897</v>
      </c>
      <c r="C71" s="121" t="s">
        <v>720</v>
      </c>
      <c r="D71" s="76">
        <v>3</v>
      </c>
      <c r="E71" s="76">
        <v>9</v>
      </c>
      <c r="F71" s="76">
        <v>10</v>
      </c>
      <c r="G71" s="76">
        <v>16</v>
      </c>
      <c r="H71" s="76">
        <v>21</v>
      </c>
      <c r="I71" s="76">
        <v>22</v>
      </c>
      <c r="J71" s="76">
        <v>25</v>
      </c>
      <c r="K71" s="76">
        <v>28</v>
      </c>
      <c r="L71" s="76">
        <v>41</v>
      </c>
      <c r="M71" s="76">
        <v>42</v>
      </c>
      <c r="N71" s="76">
        <v>49</v>
      </c>
      <c r="O71" s="180"/>
      <c r="P71" s="61">
        <v>1</v>
      </c>
      <c r="Z71" s="62">
        <v>462</v>
      </c>
      <c r="AA71" s="62">
        <v>0</v>
      </c>
      <c r="AB71" s="61">
        <v>1</v>
      </c>
      <c r="AC71" s="61">
        <v>200</v>
      </c>
    </row>
    <row r="72" spans="1:29" x14ac:dyDescent="0.2">
      <c r="A72" s="71">
        <v>70</v>
      </c>
      <c r="B72" s="132">
        <v>43902</v>
      </c>
      <c r="C72" s="133" t="s">
        <v>710</v>
      </c>
      <c r="D72" s="134">
        <v>2</v>
      </c>
      <c r="E72" s="134">
        <v>9</v>
      </c>
      <c r="F72" s="134">
        <v>12</v>
      </c>
      <c r="G72" s="134">
        <v>15</v>
      </c>
      <c r="H72" s="134">
        <v>16</v>
      </c>
      <c r="I72" s="134">
        <v>19</v>
      </c>
      <c r="J72" s="134">
        <v>21</v>
      </c>
      <c r="K72" s="134">
        <v>25</v>
      </c>
      <c r="L72" s="134">
        <v>26</v>
      </c>
      <c r="M72" s="134">
        <v>44</v>
      </c>
      <c r="N72" s="134">
        <v>45</v>
      </c>
      <c r="O72" s="180"/>
      <c r="P72" s="61">
        <v>3</v>
      </c>
      <c r="Z72" s="62">
        <v>462</v>
      </c>
      <c r="AA72" s="62">
        <v>0</v>
      </c>
      <c r="AB72" s="61">
        <v>1</v>
      </c>
      <c r="AC72" s="61">
        <v>800</v>
      </c>
    </row>
    <row r="73" spans="1:29" x14ac:dyDescent="0.2">
      <c r="A73" s="71">
        <v>71</v>
      </c>
      <c r="B73" s="130">
        <v>43902</v>
      </c>
      <c r="C73" s="131" t="s">
        <v>711</v>
      </c>
      <c r="D73" s="126">
        <v>7</v>
      </c>
      <c r="E73" s="126">
        <v>9</v>
      </c>
      <c r="F73" s="126">
        <v>18</v>
      </c>
      <c r="G73" s="126">
        <v>23</v>
      </c>
      <c r="H73" s="126">
        <v>24</v>
      </c>
      <c r="I73" s="126">
        <v>30</v>
      </c>
      <c r="J73" s="126">
        <v>34</v>
      </c>
      <c r="K73" s="126">
        <v>41</v>
      </c>
      <c r="L73" s="126">
        <v>42</v>
      </c>
      <c r="M73" s="126">
        <v>45</v>
      </c>
      <c r="N73" s="126">
        <v>49</v>
      </c>
      <c r="O73" s="180"/>
      <c r="P73" s="165" t="s">
        <v>717</v>
      </c>
      <c r="Z73" s="62">
        <v>462</v>
      </c>
      <c r="AA73" s="62">
        <v>448</v>
      </c>
      <c r="AB73" s="61">
        <v>1</v>
      </c>
      <c r="AC73" s="61">
        <v>800</v>
      </c>
    </row>
    <row r="74" spans="1:29" x14ac:dyDescent="0.2">
      <c r="A74" s="71">
        <v>72</v>
      </c>
      <c r="B74" s="120">
        <v>43902</v>
      </c>
      <c r="C74" s="121" t="s">
        <v>720</v>
      </c>
      <c r="D74" s="76">
        <v>9</v>
      </c>
      <c r="E74" s="76">
        <v>10</v>
      </c>
      <c r="F74" s="76">
        <v>12</v>
      </c>
      <c r="G74" s="76">
        <v>14</v>
      </c>
      <c r="H74" s="76">
        <v>15</v>
      </c>
      <c r="I74" s="76">
        <v>21</v>
      </c>
      <c r="J74" s="76">
        <v>23</v>
      </c>
      <c r="K74" s="76">
        <v>25</v>
      </c>
      <c r="L74" s="76">
        <v>27</v>
      </c>
      <c r="M74" s="76">
        <v>34</v>
      </c>
      <c r="N74" s="76">
        <v>37</v>
      </c>
      <c r="O74" s="180"/>
      <c r="P74" s="165" t="s">
        <v>717</v>
      </c>
      <c r="Z74" s="62">
        <v>462</v>
      </c>
      <c r="AA74" s="62">
        <v>448</v>
      </c>
      <c r="AB74" s="61">
        <v>1</v>
      </c>
      <c r="AC74" s="61">
        <v>800</v>
      </c>
    </row>
    <row r="75" spans="1:29" x14ac:dyDescent="0.2">
      <c r="A75" s="71">
        <v>73</v>
      </c>
      <c r="B75" s="132">
        <v>43904</v>
      </c>
      <c r="C75" s="133" t="s">
        <v>710</v>
      </c>
      <c r="D75" s="134">
        <v>2</v>
      </c>
      <c r="E75" s="134">
        <v>17</v>
      </c>
      <c r="F75" s="134">
        <v>19</v>
      </c>
      <c r="G75" s="134">
        <v>25</v>
      </c>
      <c r="H75" s="134">
        <v>26</v>
      </c>
      <c r="I75" s="134">
        <v>30</v>
      </c>
      <c r="J75" s="134">
        <v>31</v>
      </c>
      <c r="K75" s="134">
        <v>34</v>
      </c>
      <c r="L75" s="134">
        <v>36</v>
      </c>
      <c r="M75" s="134">
        <v>38</v>
      </c>
      <c r="N75" s="134">
        <v>40</v>
      </c>
      <c r="O75" s="180"/>
      <c r="P75" s="61">
        <v>2</v>
      </c>
      <c r="Z75" s="62">
        <v>462</v>
      </c>
      <c r="AA75" s="62">
        <v>0</v>
      </c>
      <c r="AB75" s="61">
        <v>1</v>
      </c>
      <c r="AC75" s="61">
        <v>400</v>
      </c>
    </row>
    <row r="76" spans="1:29" x14ac:dyDescent="0.2">
      <c r="A76" s="71">
        <v>74</v>
      </c>
      <c r="B76" s="130">
        <v>43904</v>
      </c>
      <c r="C76" s="131" t="s">
        <v>711</v>
      </c>
      <c r="D76" s="126">
        <v>5</v>
      </c>
      <c r="E76" s="126">
        <v>17</v>
      </c>
      <c r="F76" s="126">
        <v>22</v>
      </c>
      <c r="G76" s="126">
        <v>24</v>
      </c>
      <c r="H76" s="126">
        <v>28</v>
      </c>
      <c r="I76" s="126">
        <v>29</v>
      </c>
      <c r="J76" s="126">
        <v>33</v>
      </c>
      <c r="K76" s="126">
        <v>34</v>
      </c>
      <c r="L76" s="126">
        <v>36</v>
      </c>
      <c r="M76" s="126">
        <v>41</v>
      </c>
      <c r="N76" s="126">
        <v>47</v>
      </c>
      <c r="O76" s="180"/>
      <c r="P76" s="61">
        <v>1</v>
      </c>
      <c r="Z76" s="62">
        <v>462</v>
      </c>
      <c r="AA76" s="62">
        <v>0</v>
      </c>
      <c r="AB76" s="61">
        <v>1</v>
      </c>
      <c r="AC76" s="61">
        <v>200</v>
      </c>
    </row>
    <row r="77" spans="1:29" x14ac:dyDescent="0.2">
      <c r="A77" s="71">
        <v>75</v>
      </c>
      <c r="B77" s="120">
        <v>43904</v>
      </c>
      <c r="C77" s="121" t="s">
        <v>720</v>
      </c>
      <c r="D77" s="76">
        <v>5</v>
      </c>
      <c r="E77" s="76">
        <v>9</v>
      </c>
      <c r="F77" s="76">
        <v>10</v>
      </c>
      <c r="G77" s="76">
        <v>13</v>
      </c>
      <c r="H77" s="76">
        <v>24</v>
      </c>
      <c r="I77" s="76">
        <v>30</v>
      </c>
      <c r="J77" s="76">
        <v>34</v>
      </c>
      <c r="K77" s="76">
        <v>35</v>
      </c>
      <c r="L77" s="76">
        <v>38</v>
      </c>
      <c r="M77" s="76">
        <v>39</v>
      </c>
      <c r="N77" s="76">
        <v>46</v>
      </c>
      <c r="O77" s="180"/>
      <c r="P77" s="61">
        <v>2</v>
      </c>
      <c r="Z77" s="62">
        <v>462</v>
      </c>
      <c r="AA77" s="62">
        <v>0</v>
      </c>
      <c r="AB77" s="61">
        <v>1</v>
      </c>
      <c r="AC77" s="61">
        <v>400</v>
      </c>
    </row>
    <row r="131" spans="8:8" ht="15" x14ac:dyDescent="0.25">
      <c r="H131"/>
    </row>
  </sheetData>
  <sortState ref="H80:H90">
    <sortCondition ref="H80"/>
  </sortState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7"/>
  <dimension ref="A1:T58"/>
  <sheetViews>
    <sheetView tabSelected="1" zoomScale="85" zoomScaleNormal="85" workbookViewId="0">
      <selection activeCell="A9" sqref="A9"/>
    </sheetView>
  </sheetViews>
  <sheetFormatPr baseColWidth="10" defaultColWidth="10.7109375" defaultRowHeight="15" x14ac:dyDescent="0.25"/>
  <cols>
    <col min="1" max="1" width="25.5703125" bestFit="1" customWidth="1"/>
    <col min="2" max="2" width="12.140625" bestFit="1" customWidth="1"/>
    <col min="3" max="3" width="10.5703125" bestFit="1" customWidth="1"/>
    <col min="4" max="4" width="7.140625" bestFit="1" customWidth="1"/>
    <col min="5" max="5" width="12.5703125" bestFit="1" customWidth="1"/>
    <col min="6" max="6" width="16.7109375" bestFit="1" customWidth="1"/>
    <col min="7" max="7" width="8" bestFit="1" customWidth="1"/>
    <col min="8" max="8" width="5.7109375" bestFit="1" customWidth="1"/>
    <col min="9" max="9" width="6.42578125" bestFit="1" customWidth="1"/>
    <col min="10" max="10" width="4.85546875" bestFit="1" customWidth="1"/>
    <col min="11" max="11" width="4.7109375" bestFit="1" customWidth="1"/>
    <col min="12" max="12" width="13.28515625" bestFit="1" customWidth="1"/>
    <col min="13" max="13" width="14.28515625" bestFit="1" customWidth="1"/>
    <col min="14" max="14" width="12.5703125" bestFit="1" customWidth="1"/>
    <col min="15" max="15" width="8" bestFit="1" customWidth="1"/>
    <col min="16" max="16" width="8.140625" bestFit="1" customWidth="1"/>
    <col min="17" max="17" width="5.5703125" bestFit="1" customWidth="1"/>
    <col min="18" max="18" width="10.7109375" customWidth="1"/>
    <col min="19" max="19" width="12.140625" bestFit="1" customWidth="1"/>
    <col min="20" max="20" width="13.85546875" bestFit="1" customWidth="1"/>
    <col min="21" max="25" width="10.7109375" customWidth="1"/>
    <col min="28" max="28" width="10.7109375" customWidth="1"/>
  </cols>
  <sheetData>
    <row r="1" spans="1:20" x14ac:dyDescent="0.25">
      <c r="A1" s="210" t="s">
        <v>773</v>
      </c>
    </row>
    <row r="2" spans="1:20" x14ac:dyDescent="0.25">
      <c r="A2" t="s">
        <v>767</v>
      </c>
      <c r="B2" s="202">
        <v>43904</v>
      </c>
    </row>
    <row r="3" spans="1:20" x14ac:dyDescent="0.25">
      <c r="A3" t="s">
        <v>774</v>
      </c>
      <c r="B3" s="202">
        <v>43764</v>
      </c>
    </row>
    <row r="4" spans="1:20" x14ac:dyDescent="0.25">
      <c r="A4" t="s">
        <v>775</v>
      </c>
      <c r="B4" s="202">
        <v>43902</v>
      </c>
    </row>
    <row r="5" spans="1:20" x14ac:dyDescent="0.25">
      <c r="A5" t="s">
        <v>768</v>
      </c>
      <c r="B5">
        <v>139</v>
      </c>
    </row>
    <row r="6" spans="1:20" x14ac:dyDescent="0.25">
      <c r="A6" t="s">
        <v>769</v>
      </c>
      <c r="B6">
        <v>40</v>
      </c>
    </row>
    <row r="7" spans="1:20" x14ac:dyDescent="0.25">
      <c r="A7" t="s">
        <v>776</v>
      </c>
      <c r="B7">
        <v>280</v>
      </c>
    </row>
    <row r="9" spans="1:20" x14ac:dyDescent="0.25">
      <c r="A9" t="s">
        <v>777</v>
      </c>
      <c r="B9" t="s">
        <v>778</v>
      </c>
      <c r="C9" t="s">
        <v>779</v>
      </c>
      <c r="D9" t="s">
        <v>780</v>
      </c>
      <c r="E9" t="s">
        <v>781</v>
      </c>
      <c r="F9" t="s">
        <v>782</v>
      </c>
      <c r="G9" t="s">
        <v>783</v>
      </c>
      <c r="H9" t="s">
        <v>784</v>
      </c>
      <c r="I9" t="s">
        <v>785</v>
      </c>
      <c r="J9" t="s">
        <v>786</v>
      </c>
      <c r="K9" t="s">
        <v>787</v>
      </c>
      <c r="L9" t="s">
        <v>788</v>
      </c>
      <c r="M9" t="s">
        <v>789</v>
      </c>
      <c r="N9" t="s">
        <v>790</v>
      </c>
      <c r="O9" t="s">
        <v>772</v>
      </c>
      <c r="P9" t="s">
        <v>770</v>
      </c>
      <c r="Q9" t="s">
        <v>771</v>
      </c>
      <c r="R9" t="s">
        <v>791</v>
      </c>
      <c r="S9" t="s">
        <v>792</v>
      </c>
      <c r="T9" t="s">
        <v>793</v>
      </c>
    </row>
    <row r="10" spans="1:20" x14ac:dyDescent="0.25">
      <c r="A10" s="211">
        <v>1</v>
      </c>
      <c r="B10" s="212">
        <v>5</v>
      </c>
      <c r="C10" s="212">
        <v>2</v>
      </c>
      <c r="D10" s="218">
        <v>1.7857142857142856E-2</v>
      </c>
      <c r="E10" s="218">
        <v>0.10398192048334956</v>
      </c>
      <c r="F10" s="216">
        <v>0</v>
      </c>
      <c r="G10" s="225">
        <v>8.5</v>
      </c>
      <c r="H10" s="224">
        <v>3.5</v>
      </c>
      <c r="I10" s="231">
        <v>8</v>
      </c>
      <c r="J10" s="212">
        <v>15</v>
      </c>
      <c r="K10" s="212">
        <v>3</v>
      </c>
      <c r="L10" s="213">
        <v>43897</v>
      </c>
      <c r="M10" s="239">
        <v>43925</v>
      </c>
      <c r="N10">
        <v>1</v>
      </c>
      <c r="O10">
        <v>1</v>
      </c>
      <c r="P10" t="s">
        <v>794</v>
      </c>
      <c r="Q10" t="s">
        <v>795</v>
      </c>
      <c r="R10" t="s">
        <v>796</v>
      </c>
      <c r="S10" t="s">
        <v>800</v>
      </c>
      <c r="T10" s="214">
        <v>7.0424453176621646E-2</v>
      </c>
    </row>
    <row r="11" spans="1:20" x14ac:dyDescent="0.25">
      <c r="A11" s="211">
        <v>2</v>
      </c>
      <c r="B11" s="212">
        <v>8</v>
      </c>
      <c r="C11" s="212">
        <v>15</v>
      </c>
      <c r="D11" s="217">
        <v>2.8571428571428571E-2</v>
      </c>
      <c r="E11" s="216">
        <v>2.2900671905376919E-34</v>
      </c>
      <c r="F11" s="216">
        <v>0</v>
      </c>
      <c r="G11" s="224">
        <v>3.5714285714285716</v>
      </c>
      <c r="H11" s="223">
        <v>1.346938775510204</v>
      </c>
      <c r="I11" s="230">
        <v>5</v>
      </c>
      <c r="J11" s="212">
        <v>5</v>
      </c>
      <c r="K11" s="212">
        <v>1</v>
      </c>
      <c r="L11" s="213">
        <v>43853</v>
      </c>
      <c r="M11" s="236">
        <v>43904</v>
      </c>
      <c r="N11">
        <v>2</v>
      </c>
      <c r="O11">
        <v>1</v>
      </c>
      <c r="P11" t="s">
        <v>797</v>
      </c>
      <c r="Q11" t="s">
        <v>795</v>
      </c>
      <c r="R11" t="s">
        <v>796</v>
      </c>
      <c r="S11" t="s">
        <v>28</v>
      </c>
      <c r="T11" s="214">
        <v>-0.15764697794516211</v>
      </c>
    </row>
    <row r="12" spans="1:20" x14ac:dyDescent="0.25">
      <c r="A12" s="211">
        <v>3</v>
      </c>
      <c r="B12" s="212">
        <v>8</v>
      </c>
      <c r="C12" s="212">
        <v>2</v>
      </c>
      <c r="D12" s="217">
        <v>2.8571428571428571E-2</v>
      </c>
      <c r="E12" s="218">
        <v>0.1118225076183598</v>
      </c>
      <c r="F12" s="216">
        <v>0</v>
      </c>
      <c r="G12" s="224">
        <v>4.4285714285714288</v>
      </c>
      <c r="H12" s="224">
        <v>3.0612244897959187</v>
      </c>
      <c r="I12" s="229">
        <v>1</v>
      </c>
      <c r="J12" s="212">
        <v>13</v>
      </c>
      <c r="K12" s="212">
        <v>1</v>
      </c>
      <c r="L12" s="213">
        <v>43897</v>
      </c>
      <c r="M12" s="239">
        <v>43911</v>
      </c>
      <c r="N12">
        <v>3</v>
      </c>
      <c r="O12">
        <v>1</v>
      </c>
      <c r="P12" t="s">
        <v>794</v>
      </c>
      <c r="Q12" t="s">
        <v>795</v>
      </c>
      <c r="R12" t="s">
        <v>796</v>
      </c>
      <c r="S12" t="s">
        <v>800</v>
      </c>
      <c r="T12" s="214">
        <v>0.59993202362597786</v>
      </c>
    </row>
    <row r="13" spans="1:20" x14ac:dyDescent="0.25">
      <c r="A13" s="211">
        <v>4</v>
      </c>
      <c r="B13" s="212">
        <v>4</v>
      </c>
      <c r="C13" s="212">
        <v>9</v>
      </c>
      <c r="D13" s="215">
        <v>1.4285714285714285E-2</v>
      </c>
      <c r="E13" s="216">
        <v>3.8463448761520733E-13</v>
      </c>
      <c r="F13" s="218">
        <v>0.25</v>
      </c>
      <c r="G13" s="225">
        <v>7</v>
      </c>
      <c r="H13" s="225">
        <v>4</v>
      </c>
      <c r="I13" s="231">
        <v>9</v>
      </c>
      <c r="J13" s="212">
        <v>11</v>
      </c>
      <c r="K13" s="212">
        <v>1</v>
      </c>
      <c r="L13" s="213">
        <v>43874</v>
      </c>
      <c r="M13" s="236">
        <v>43904</v>
      </c>
      <c r="N13">
        <v>4</v>
      </c>
      <c r="O13">
        <v>1</v>
      </c>
      <c r="P13" t="s">
        <v>797</v>
      </c>
      <c r="Q13" t="s">
        <v>795</v>
      </c>
      <c r="R13" t="s">
        <v>796</v>
      </c>
      <c r="S13" t="s">
        <v>801</v>
      </c>
      <c r="T13" s="214">
        <v>-0.19969137909634646</v>
      </c>
    </row>
    <row r="14" spans="1:20" x14ac:dyDescent="0.25">
      <c r="A14" s="211">
        <v>5</v>
      </c>
      <c r="B14" s="212">
        <v>8</v>
      </c>
      <c r="C14" s="212">
        <v>2</v>
      </c>
      <c r="D14" s="217">
        <v>2.8571428571428571E-2</v>
      </c>
      <c r="E14" s="215">
        <v>8.2369403064615737E-2</v>
      </c>
      <c r="F14" s="216">
        <v>0</v>
      </c>
      <c r="G14" s="224">
        <v>5.2857142857142856</v>
      </c>
      <c r="H14" s="225">
        <v>3.9183673469387754</v>
      </c>
      <c r="I14" s="229">
        <v>1</v>
      </c>
      <c r="J14" s="212">
        <v>19</v>
      </c>
      <c r="K14" s="212">
        <v>1</v>
      </c>
      <c r="L14" s="213">
        <v>43897</v>
      </c>
      <c r="M14" s="239">
        <v>43916</v>
      </c>
      <c r="N14">
        <v>5</v>
      </c>
      <c r="O14">
        <v>1</v>
      </c>
      <c r="P14" t="s">
        <v>794</v>
      </c>
      <c r="Q14" t="s">
        <v>795</v>
      </c>
      <c r="R14" t="s">
        <v>796</v>
      </c>
      <c r="S14" t="s">
        <v>800</v>
      </c>
      <c r="T14" s="214">
        <v>0.40039210973719025</v>
      </c>
    </row>
    <row r="15" spans="1:20" x14ac:dyDescent="0.25">
      <c r="A15" s="211">
        <v>6</v>
      </c>
      <c r="B15" s="212">
        <v>2</v>
      </c>
      <c r="C15" s="212">
        <v>26</v>
      </c>
      <c r="D15" s="216">
        <v>7.1428571428571426E-3</v>
      </c>
      <c r="E15" s="216">
        <v>0</v>
      </c>
      <c r="F15" s="216">
        <v>0</v>
      </c>
      <c r="G15" s="228">
        <v>14</v>
      </c>
      <c r="H15" s="223">
        <v>0</v>
      </c>
      <c r="I15" s="234">
        <v>14</v>
      </c>
      <c r="J15" s="212">
        <v>14</v>
      </c>
      <c r="K15" s="212">
        <v>14</v>
      </c>
      <c r="L15" s="213">
        <v>43813</v>
      </c>
      <c r="M15" s="235">
        <v>43867</v>
      </c>
      <c r="N15">
        <v>6</v>
      </c>
      <c r="O15">
        <v>1</v>
      </c>
      <c r="P15" t="s">
        <v>797</v>
      </c>
      <c r="Q15" t="s">
        <v>795</v>
      </c>
      <c r="R15" t="s">
        <v>796</v>
      </c>
      <c r="S15" t="s">
        <v>28</v>
      </c>
      <c r="T15" s="214">
        <v>-1.1104247557229401</v>
      </c>
    </row>
    <row r="16" spans="1:20" x14ac:dyDescent="0.25">
      <c r="A16" s="211">
        <v>7</v>
      </c>
      <c r="B16" s="212">
        <v>9</v>
      </c>
      <c r="C16" s="212">
        <v>1</v>
      </c>
      <c r="D16" s="220">
        <v>3.214285714285714E-2</v>
      </c>
      <c r="E16" s="218">
        <v>0.10814435475044068</v>
      </c>
      <c r="F16" s="216">
        <v>0</v>
      </c>
      <c r="G16" s="224">
        <v>4.75</v>
      </c>
      <c r="H16" s="224">
        <v>2.5625</v>
      </c>
      <c r="I16" s="229">
        <v>1</v>
      </c>
      <c r="J16" s="212">
        <v>8</v>
      </c>
      <c r="K16" s="212">
        <v>1</v>
      </c>
      <c r="L16" s="213">
        <v>43902</v>
      </c>
      <c r="M16" s="239">
        <v>43918</v>
      </c>
      <c r="N16">
        <v>7</v>
      </c>
      <c r="O16">
        <v>1</v>
      </c>
      <c r="P16" t="s">
        <v>794</v>
      </c>
      <c r="Q16" t="s">
        <v>795</v>
      </c>
      <c r="R16" t="s">
        <v>796</v>
      </c>
      <c r="S16" t="s">
        <v>800</v>
      </c>
      <c r="T16" s="214">
        <v>0.73380944234876944</v>
      </c>
    </row>
    <row r="17" spans="1:20" x14ac:dyDescent="0.25">
      <c r="A17" s="211">
        <v>8</v>
      </c>
      <c r="B17" s="212">
        <v>2</v>
      </c>
      <c r="C17" s="212">
        <v>24</v>
      </c>
      <c r="D17" s="216">
        <v>7.1428571428571426E-3</v>
      </c>
      <c r="E17" s="216">
        <v>0</v>
      </c>
      <c r="F17" s="216">
        <v>0</v>
      </c>
      <c r="G17" s="225">
        <v>8</v>
      </c>
      <c r="H17" s="223">
        <v>0</v>
      </c>
      <c r="I17" s="231">
        <v>8</v>
      </c>
      <c r="J17" s="212">
        <v>8</v>
      </c>
      <c r="K17" s="212">
        <v>8</v>
      </c>
      <c r="L17" s="213">
        <v>43820</v>
      </c>
      <c r="M17" s="236">
        <v>43904</v>
      </c>
      <c r="N17">
        <v>8</v>
      </c>
      <c r="O17">
        <v>1</v>
      </c>
      <c r="P17" t="s">
        <v>797</v>
      </c>
      <c r="Q17" t="s">
        <v>795</v>
      </c>
      <c r="R17" t="s">
        <v>796</v>
      </c>
      <c r="S17" t="s">
        <v>28</v>
      </c>
      <c r="T17" s="214">
        <v>-1.1104247557229401</v>
      </c>
    </row>
    <row r="18" spans="1:20" x14ac:dyDescent="0.25">
      <c r="A18" s="237">
        <v>9</v>
      </c>
      <c r="B18" s="212">
        <v>5</v>
      </c>
      <c r="C18" s="212">
        <v>8</v>
      </c>
      <c r="D18" s="218">
        <v>1.7857142857142856E-2</v>
      </c>
      <c r="E18" s="216">
        <v>4.1278874876150992E-11</v>
      </c>
      <c r="F18" s="216">
        <v>0</v>
      </c>
      <c r="G18" s="225">
        <v>6.5</v>
      </c>
      <c r="H18" s="225">
        <v>4.5</v>
      </c>
      <c r="I18" s="229">
        <v>2</v>
      </c>
      <c r="J18" s="212">
        <v>15</v>
      </c>
      <c r="K18" s="212">
        <v>2</v>
      </c>
      <c r="L18" s="213">
        <v>43876</v>
      </c>
      <c r="M18" s="236">
        <v>43909</v>
      </c>
      <c r="N18">
        <v>9</v>
      </c>
      <c r="O18">
        <v>1</v>
      </c>
      <c r="P18" t="s">
        <v>794</v>
      </c>
      <c r="Q18" t="s">
        <v>795</v>
      </c>
      <c r="R18" t="s">
        <v>796</v>
      </c>
      <c r="S18" t="s">
        <v>801</v>
      </c>
      <c r="T18" s="214">
        <v>-0.63403586655439348</v>
      </c>
    </row>
    <row r="19" spans="1:20" x14ac:dyDescent="0.25">
      <c r="A19" s="211">
        <v>10</v>
      </c>
      <c r="B19" s="212">
        <v>1</v>
      </c>
      <c r="C19" s="212">
        <v>37</v>
      </c>
      <c r="D19" s="216">
        <v>3.5714285714285713E-3</v>
      </c>
      <c r="E19" s="216">
        <v>0</v>
      </c>
      <c r="F19" s="216">
        <v>0</v>
      </c>
      <c r="G19" s="223">
        <v>0</v>
      </c>
      <c r="H19" s="223">
        <v>0</v>
      </c>
      <c r="I19" s="229">
        <v>0</v>
      </c>
      <c r="J19" s="212">
        <v>0</v>
      </c>
      <c r="K19" s="212">
        <v>0</v>
      </c>
      <c r="L19" s="213">
        <v>43776</v>
      </c>
      <c r="M19" s="222">
        <v>43785</v>
      </c>
      <c r="N19">
        <v>0</v>
      </c>
      <c r="O19">
        <v>2</v>
      </c>
      <c r="P19" t="s">
        <v>797</v>
      </c>
      <c r="Q19" t="s">
        <v>795</v>
      </c>
      <c r="R19" t="s">
        <v>796</v>
      </c>
      <c r="S19" t="s">
        <v>28</v>
      </c>
      <c r="T19" s="214">
        <v>-1.2692210520192362</v>
      </c>
    </row>
    <row r="20" spans="1:20" x14ac:dyDescent="0.25">
      <c r="A20" s="211">
        <v>11</v>
      </c>
      <c r="B20" s="212">
        <v>6</v>
      </c>
      <c r="C20" s="212">
        <v>5</v>
      </c>
      <c r="D20" s="219">
        <v>2.1428571428571429E-2</v>
      </c>
      <c r="E20" s="216">
        <v>7.5168369507868911E-4</v>
      </c>
      <c r="F20" s="219">
        <v>0.33333333333333331</v>
      </c>
      <c r="G20" s="224">
        <v>5.6</v>
      </c>
      <c r="H20" s="224">
        <v>3.12</v>
      </c>
      <c r="I20" s="230">
        <v>4</v>
      </c>
      <c r="J20" s="212">
        <v>12</v>
      </c>
      <c r="K20" s="212">
        <v>2</v>
      </c>
      <c r="L20" s="213">
        <v>43888</v>
      </c>
      <c r="M20" s="236">
        <v>43909</v>
      </c>
      <c r="N20">
        <v>1</v>
      </c>
      <c r="O20">
        <v>2</v>
      </c>
      <c r="P20" t="s">
        <v>794</v>
      </c>
      <c r="Q20" t="s">
        <v>795</v>
      </c>
      <c r="R20" t="s">
        <v>796</v>
      </c>
      <c r="S20" t="s">
        <v>801</v>
      </c>
      <c r="T20" s="214">
        <v>0.32070734092954845</v>
      </c>
    </row>
    <row r="21" spans="1:20" x14ac:dyDescent="0.25">
      <c r="A21" s="211">
        <v>12</v>
      </c>
      <c r="B21" s="212">
        <v>6</v>
      </c>
      <c r="C21" s="212">
        <v>6</v>
      </c>
      <c r="D21" s="219">
        <v>2.1428571428571429E-2</v>
      </c>
      <c r="E21" s="216">
        <v>3.1787417345917031E-6</v>
      </c>
      <c r="F21" s="215">
        <v>0.16666666666666666</v>
      </c>
      <c r="G21" s="225">
        <v>6.2</v>
      </c>
      <c r="H21" s="225">
        <v>4.24</v>
      </c>
      <c r="I21" s="230">
        <v>4</v>
      </c>
      <c r="J21" s="212">
        <v>16</v>
      </c>
      <c r="K21" s="212">
        <v>1</v>
      </c>
      <c r="L21" s="213">
        <v>43883</v>
      </c>
      <c r="M21" s="236">
        <v>43904</v>
      </c>
      <c r="N21">
        <v>2</v>
      </c>
      <c r="O21">
        <v>2</v>
      </c>
      <c r="P21" t="s">
        <v>797</v>
      </c>
      <c r="Q21" t="s">
        <v>795</v>
      </c>
      <c r="R21" t="s">
        <v>796</v>
      </c>
      <c r="S21" t="s">
        <v>801</v>
      </c>
      <c r="T21" s="214">
        <v>-7.9790845733778815E-2</v>
      </c>
    </row>
    <row r="22" spans="1:20" x14ac:dyDescent="0.25">
      <c r="A22" s="211">
        <v>13</v>
      </c>
      <c r="B22" s="212">
        <v>7</v>
      </c>
      <c r="C22" s="212">
        <v>1</v>
      </c>
      <c r="D22" s="219">
        <v>2.5000000000000001E-2</v>
      </c>
      <c r="E22" s="215">
        <v>7.2549475479453382E-2</v>
      </c>
      <c r="F22" s="216">
        <v>0</v>
      </c>
      <c r="G22" s="225">
        <v>6.166666666666667</v>
      </c>
      <c r="H22" s="224">
        <v>2.8888888888888893</v>
      </c>
      <c r="I22" s="230">
        <v>6</v>
      </c>
      <c r="J22" s="212">
        <v>11</v>
      </c>
      <c r="K22" s="212">
        <v>1</v>
      </c>
      <c r="L22" s="213">
        <v>43902</v>
      </c>
      <c r="M22" s="239">
        <v>43923</v>
      </c>
      <c r="N22">
        <v>3</v>
      </c>
      <c r="O22">
        <v>2</v>
      </c>
      <c r="P22" t="s">
        <v>794</v>
      </c>
      <c r="Q22" t="s">
        <v>795</v>
      </c>
      <c r="R22" t="s">
        <v>796</v>
      </c>
      <c r="S22" t="s">
        <v>800</v>
      </c>
      <c r="T22" s="214">
        <v>0.17506742757372937</v>
      </c>
    </row>
    <row r="23" spans="1:20" x14ac:dyDescent="0.25">
      <c r="A23" s="211">
        <v>14</v>
      </c>
      <c r="B23" s="212">
        <v>4</v>
      </c>
      <c r="C23" s="212">
        <v>11</v>
      </c>
      <c r="D23" s="215">
        <v>1.4285714285714285E-2</v>
      </c>
      <c r="E23" s="216">
        <v>2.0460515627244019E-2</v>
      </c>
      <c r="F23" s="216">
        <v>0</v>
      </c>
      <c r="G23" s="224">
        <v>3.6666666666666665</v>
      </c>
      <c r="H23" s="223">
        <v>0.44444444444444448</v>
      </c>
      <c r="I23" s="230">
        <v>4</v>
      </c>
      <c r="J23" s="212">
        <v>4</v>
      </c>
      <c r="K23" s="212">
        <v>3</v>
      </c>
      <c r="L23" s="213">
        <v>43867</v>
      </c>
      <c r="M23" s="236">
        <v>43904</v>
      </c>
      <c r="N23">
        <v>4</v>
      </c>
      <c r="O23">
        <v>2</v>
      </c>
      <c r="P23" t="s">
        <v>797</v>
      </c>
      <c r="Q23" t="s">
        <v>795</v>
      </c>
      <c r="R23" t="s">
        <v>796</v>
      </c>
      <c r="S23" t="s">
        <v>28</v>
      </c>
      <c r="T23" s="214">
        <v>-0.65421555247965524</v>
      </c>
    </row>
    <row r="24" spans="1:20" x14ac:dyDescent="0.25">
      <c r="A24" s="211">
        <v>15</v>
      </c>
      <c r="B24" s="212">
        <v>6</v>
      </c>
      <c r="C24" s="212">
        <v>1</v>
      </c>
      <c r="D24" s="219">
        <v>2.1428571428571429E-2</v>
      </c>
      <c r="E24" s="215">
        <v>6.8205704118661503E-2</v>
      </c>
      <c r="F24" s="216">
        <v>0</v>
      </c>
      <c r="G24" s="225">
        <v>7.6</v>
      </c>
      <c r="H24" s="225">
        <v>5.3600000000000012</v>
      </c>
      <c r="I24" s="230">
        <v>5</v>
      </c>
      <c r="J24" s="212">
        <v>21</v>
      </c>
      <c r="K24" s="212">
        <v>2</v>
      </c>
      <c r="L24" s="213">
        <v>43902</v>
      </c>
      <c r="M24" s="239">
        <v>43930</v>
      </c>
      <c r="N24">
        <v>5</v>
      </c>
      <c r="O24">
        <v>2</v>
      </c>
      <c r="P24" t="s">
        <v>794</v>
      </c>
      <c r="Q24" t="s">
        <v>795</v>
      </c>
      <c r="R24" t="s">
        <v>796</v>
      </c>
      <c r="S24" t="s">
        <v>800</v>
      </c>
      <c r="T24" s="214">
        <v>-1.315720153900731E-2</v>
      </c>
    </row>
    <row r="25" spans="1:20" x14ac:dyDescent="0.25">
      <c r="A25" s="211">
        <v>16</v>
      </c>
      <c r="B25" s="212">
        <v>9</v>
      </c>
      <c r="C25" s="212">
        <v>1</v>
      </c>
      <c r="D25" s="220">
        <v>3.214285714285714E-2</v>
      </c>
      <c r="E25" s="218">
        <v>0.12376657622659679</v>
      </c>
      <c r="F25" s="216">
        <v>0</v>
      </c>
      <c r="G25" s="224">
        <v>4.25</v>
      </c>
      <c r="H25" s="224">
        <v>2.875</v>
      </c>
      <c r="I25" s="229">
        <v>1</v>
      </c>
      <c r="J25" s="212">
        <v>15</v>
      </c>
      <c r="K25" s="212">
        <v>1</v>
      </c>
      <c r="L25" s="213">
        <v>43902</v>
      </c>
      <c r="M25" s="239">
        <v>43916</v>
      </c>
      <c r="N25">
        <v>6</v>
      </c>
      <c r="O25">
        <v>2</v>
      </c>
      <c r="P25" t="s">
        <v>797</v>
      </c>
      <c r="Q25" t="s">
        <v>795</v>
      </c>
      <c r="R25" t="s">
        <v>796</v>
      </c>
      <c r="S25" t="s">
        <v>800</v>
      </c>
      <c r="T25" s="214">
        <v>0.83964741003790044</v>
      </c>
    </row>
    <row r="26" spans="1:20" x14ac:dyDescent="0.25">
      <c r="A26" s="211">
        <v>17</v>
      </c>
      <c r="B26" s="212">
        <v>7</v>
      </c>
      <c r="C26" s="212">
        <v>4</v>
      </c>
      <c r="D26" s="219">
        <v>2.5000000000000001E-2</v>
      </c>
      <c r="E26" s="216">
        <v>6.7029661410915363E-3</v>
      </c>
      <c r="F26" s="217">
        <v>0.42857142857142855</v>
      </c>
      <c r="G26" s="224">
        <v>4.666666666666667</v>
      </c>
      <c r="H26" s="224">
        <v>3</v>
      </c>
      <c r="I26" s="229">
        <v>1</v>
      </c>
      <c r="J26" s="212">
        <v>11</v>
      </c>
      <c r="K26" s="212">
        <v>1</v>
      </c>
      <c r="L26" s="213">
        <v>43890</v>
      </c>
      <c r="M26" s="236">
        <v>43909</v>
      </c>
      <c r="N26">
        <v>7</v>
      </c>
      <c r="O26">
        <v>2</v>
      </c>
      <c r="P26" t="s">
        <v>794</v>
      </c>
      <c r="Q26" t="s">
        <v>795</v>
      </c>
      <c r="R26" t="s">
        <v>796</v>
      </c>
      <c r="S26" t="s">
        <v>801</v>
      </c>
      <c r="T26" s="214">
        <v>0.74578098579260532</v>
      </c>
    </row>
    <row r="27" spans="1:20" x14ac:dyDescent="0.25">
      <c r="A27" s="211">
        <v>18</v>
      </c>
      <c r="B27" s="212">
        <v>9</v>
      </c>
      <c r="C27" s="212">
        <v>5</v>
      </c>
      <c r="D27" s="220">
        <v>3.214285714285714E-2</v>
      </c>
      <c r="E27" s="216">
        <v>6.889611612051795E-4</v>
      </c>
      <c r="F27" s="220">
        <v>0.55555555555555558</v>
      </c>
      <c r="G27" s="224">
        <v>4.125</v>
      </c>
      <c r="H27" s="224">
        <v>2.4375</v>
      </c>
      <c r="I27" s="229">
        <v>2</v>
      </c>
      <c r="J27" s="212">
        <v>9</v>
      </c>
      <c r="K27" s="212">
        <v>2</v>
      </c>
      <c r="L27" s="213">
        <v>43888</v>
      </c>
      <c r="M27" s="239">
        <v>43918</v>
      </c>
      <c r="N27">
        <v>8</v>
      </c>
      <c r="O27">
        <v>2</v>
      </c>
      <c r="P27" t="s">
        <v>797</v>
      </c>
      <c r="Q27" t="s">
        <v>795</v>
      </c>
      <c r="R27" t="s">
        <v>796</v>
      </c>
      <c r="S27" t="s">
        <v>801</v>
      </c>
      <c r="T27" s="214">
        <v>1.3239075474936717</v>
      </c>
    </row>
    <row r="28" spans="1:20" x14ac:dyDescent="0.25">
      <c r="A28" s="211">
        <v>19</v>
      </c>
      <c r="B28" s="212">
        <v>7</v>
      </c>
      <c r="C28" s="212">
        <v>3</v>
      </c>
      <c r="D28" s="219">
        <v>2.5000000000000001E-2</v>
      </c>
      <c r="E28" s="215">
        <v>6.3009838243657051E-2</v>
      </c>
      <c r="F28" s="219">
        <v>0.2857142857142857</v>
      </c>
      <c r="G28" s="224">
        <v>5.333333333333333</v>
      </c>
      <c r="H28" s="224">
        <v>3</v>
      </c>
      <c r="I28" s="230">
        <v>5</v>
      </c>
      <c r="J28" s="212">
        <v>10</v>
      </c>
      <c r="K28" s="212">
        <v>1</v>
      </c>
      <c r="L28" s="213">
        <v>43895</v>
      </c>
      <c r="M28" s="239">
        <v>43911</v>
      </c>
      <c r="N28">
        <v>9</v>
      </c>
      <c r="O28">
        <v>2</v>
      </c>
      <c r="P28" t="s">
        <v>794</v>
      </c>
      <c r="Q28" t="s">
        <v>795</v>
      </c>
      <c r="R28" t="s">
        <v>796</v>
      </c>
      <c r="S28" t="s">
        <v>800</v>
      </c>
      <c r="T28" s="214">
        <v>0.78831314423346222</v>
      </c>
    </row>
    <row r="29" spans="1:20" x14ac:dyDescent="0.25">
      <c r="A29" s="237">
        <v>20</v>
      </c>
      <c r="B29" s="212">
        <v>3</v>
      </c>
      <c r="C29" s="212">
        <v>9</v>
      </c>
      <c r="D29" s="215">
        <v>1.0714285714285714E-2</v>
      </c>
      <c r="E29" s="216">
        <v>5.5862804864284138E-13</v>
      </c>
      <c r="F29" s="216">
        <v>0</v>
      </c>
      <c r="G29" s="223">
        <v>2.5</v>
      </c>
      <c r="H29" s="223">
        <v>1.5</v>
      </c>
      <c r="I29" s="229">
        <v>2</v>
      </c>
      <c r="J29" s="212">
        <v>4</v>
      </c>
      <c r="K29" s="212">
        <v>1</v>
      </c>
      <c r="L29" s="213">
        <v>43874</v>
      </c>
      <c r="M29" s="236">
        <v>43904</v>
      </c>
      <c r="N29">
        <v>0</v>
      </c>
      <c r="O29">
        <v>3</v>
      </c>
      <c r="P29" t="s">
        <v>797</v>
      </c>
      <c r="Q29" t="s">
        <v>795</v>
      </c>
      <c r="R29" t="s">
        <v>796</v>
      </c>
      <c r="S29" t="s">
        <v>801</v>
      </c>
      <c r="T29" s="214">
        <v>-0.95162845942285912</v>
      </c>
    </row>
    <row r="30" spans="1:20" x14ac:dyDescent="0.25">
      <c r="A30" s="211">
        <v>21</v>
      </c>
      <c r="B30" s="212">
        <v>2</v>
      </c>
      <c r="C30" s="212">
        <v>29</v>
      </c>
      <c r="D30" s="216">
        <v>7.1428571428571426E-3</v>
      </c>
      <c r="E30" s="216">
        <v>0</v>
      </c>
      <c r="F30" s="216">
        <v>0</v>
      </c>
      <c r="G30" s="223">
        <v>2</v>
      </c>
      <c r="H30" s="223">
        <v>0</v>
      </c>
      <c r="I30" s="229">
        <v>2</v>
      </c>
      <c r="J30" s="212">
        <v>2</v>
      </c>
      <c r="K30" s="212">
        <v>2</v>
      </c>
      <c r="L30" s="213">
        <v>43804</v>
      </c>
      <c r="M30" s="222">
        <v>43813</v>
      </c>
      <c r="N30">
        <v>1</v>
      </c>
      <c r="O30">
        <v>3</v>
      </c>
      <c r="P30" t="s">
        <v>794</v>
      </c>
      <c r="Q30" t="s">
        <v>795</v>
      </c>
      <c r="R30" t="s">
        <v>796</v>
      </c>
      <c r="S30" t="s">
        <v>28</v>
      </c>
      <c r="T30" s="214">
        <v>-1.1104247557229401</v>
      </c>
    </row>
    <row r="31" spans="1:20" x14ac:dyDescent="0.25">
      <c r="A31" s="211">
        <v>22</v>
      </c>
      <c r="B31" s="212">
        <v>2</v>
      </c>
      <c r="C31" s="212">
        <v>2</v>
      </c>
      <c r="D31" s="216">
        <v>7.1428571428571426E-3</v>
      </c>
      <c r="E31" s="216">
        <v>0</v>
      </c>
      <c r="F31" s="216">
        <v>0</v>
      </c>
      <c r="G31" s="226">
        <v>18</v>
      </c>
      <c r="H31" s="223">
        <v>0</v>
      </c>
      <c r="I31" s="232">
        <v>18</v>
      </c>
      <c r="J31" s="212">
        <v>18</v>
      </c>
      <c r="K31" s="212">
        <v>18</v>
      </c>
      <c r="L31" s="213">
        <v>43897</v>
      </c>
      <c r="M31" s="221">
        <v>43960</v>
      </c>
      <c r="N31">
        <v>2</v>
      </c>
      <c r="O31">
        <v>3</v>
      </c>
      <c r="P31" t="s">
        <v>797</v>
      </c>
      <c r="Q31" t="s">
        <v>795</v>
      </c>
      <c r="R31" t="s">
        <v>799</v>
      </c>
      <c r="S31" t="s">
        <v>800</v>
      </c>
      <c r="T31" s="214">
        <v>-1.1104247557229401</v>
      </c>
    </row>
    <row r="32" spans="1:20" x14ac:dyDescent="0.25">
      <c r="A32" s="211">
        <v>23</v>
      </c>
      <c r="B32" s="212">
        <v>5</v>
      </c>
      <c r="C32" s="212">
        <v>7</v>
      </c>
      <c r="D32" s="218">
        <v>1.7857142857142856E-2</v>
      </c>
      <c r="E32" s="216">
        <v>1.3056748710048119E-8</v>
      </c>
      <c r="F32" s="216">
        <v>0</v>
      </c>
      <c r="G32" s="225">
        <v>8.25</v>
      </c>
      <c r="H32" s="227">
        <v>5.75</v>
      </c>
      <c r="I32" s="230">
        <v>6</v>
      </c>
      <c r="J32" s="212">
        <v>19</v>
      </c>
      <c r="K32" s="212">
        <v>2</v>
      </c>
      <c r="L32" s="213">
        <v>43881</v>
      </c>
      <c r="M32" s="236">
        <v>43909</v>
      </c>
      <c r="N32">
        <v>3</v>
      </c>
      <c r="O32">
        <v>3</v>
      </c>
      <c r="P32" t="s">
        <v>794</v>
      </c>
      <c r="Q32" t="s">
        <v>795</v>
      </c>
      <c r="R32" t="s">
        <v>796</v>
      </c>
      <c r="S32" t="s">
        <v>801</v>
      </c>
      <c r="T32" s="214">
        <v>-0.63403577837673719</v>
      </c>
    </row>
    <row r="33" spans="1:20" x14ac:dyDescent="0.25">
      <c r="A33" s="211">
        <v>24</v>
      </c>
      <c r="B33" s="212">
        <v>3</v>
      </c>
      <c r="C33" s="212">
        <v>5</v>
      </c>
      <c r="D33" s="215">
        <v>1.0714285714285714E-2</v>
      </c>
      <c r="E33" s="215">
        <v>7.7674421988214101E-2</v>
      </c>
      <c r="F33" s="216">
        <v>0</v>
      </c>
      <c r="G33" s="226">
        <v>15.5</v>
      </c>
      <c r="H33" s="224">
        <v>2.5</v>
      </c>
      <c r="I33" s="232">
        <v>16</v>
      </c>
      <c r="J33" s="212">
        <v>18</v>
      </c>
      <c r="K33" s="212">
        <v>13</v>
      </c>
      <c r="L33" s="213">
        <v>43888</v>
      </c>
      <c r="M33" s="221">
        <v>43944</v>
      </c>
      <c r="N33">
        <v>4</v>
      </c>
      <c r="O33">
        <v>3</v>
      </c>
      <c r="P33" t="s">
        <v>797</v>
      </c>
      <c r="Q33" t="s">
        <v>795</v>
      </c>
      <c r="R33" t="s">
        <v>796</v>
      </c>
      <c r="S33" t="s">
        <v>801</v>
      </c>
      <c r="T33" s="214">
        <v>-0.42539709231871142</v>
      </c>
    </row>
    <row r="34" spans="1:20" x14ac:dyDescent="0.25">
      <c r="A34" s="211">
        <v>25</v>
      </c>
      <c r="B34" s="212">
        <v>7</v>
      </c>
      <c r="C34" s="212">
        <v>5</v>
      </c>
      <c r="D34" s="219">
        <v>2.5000000000000001E-2</v>
      </c>
      <c r="E34" s="216">
        <v>2.8860426320531131E-3</v>
      </c>
      <c r="F34" s="219">
        <v>0.2857142857142857</v>
      </c>
      <c r="G34" s="224">
        <v>5</v>
      </c>
      <c r="H34" s="224">
        <v>2.3333333333333335</v>
      </c>
      <c r="I34" s="230">
        <v>4</v>
      </c>
      <c r="J34" s="212">
        <v>9</v>
      </c>
      <c r="K34" s="212">
        <v>1</v>
      </c>
      <c r="L34" s="213">
        <v>43888</v>
      </c>
      <c r="M34" s="236">
        <v>43909</v>
      </c>
      <c r="N34">
        <v>5</v>
      </c>
      <c r="O34">
        <v>3</v>
      </c>
      <c r="P34" t="s">
        <v>794</v>
      </c>
      <c r="Q34" t="s">
        <v>798</v>
      </c>
      <c r="R34" t="s">
        <v>796</v>
      </c>
      <c r="S34" t="s">
        <v>801</v>
      </c>
      <c r="T34" s="214">
        <v>0.38098436919329554</v>
      </c>
    </row>
    <row r="35" spans="1:20" x14ac:dyDescent="0.25">
      <c r="A35" s="211">
        <v>26</v>
      </c>
      <c r="B35" s="212">
        <v>4</v>
      </c>
      <c r="C35" s="212">
        <v>7</v>
      </c>
      <c r="D35" s="215">
        <v>1.4285714285714285E-2</v>
      </c>
      <c r="E35" s="216">
        <v>3.5841336602671778E-10</v>
      </c>
      <c r="F35" s="216">
        <v>0</v>
      </c>
      <c r="G35" s="227">
        <v>10.333333333333334</v>
      </c>
      <c r="H35" s="226">
        <v>11.111111111111109</v>
      </c>
      <c r="I35" s="229">
        <v>3</v>
      </c>
      <c r="J35" s="212">
        <v>27</v>
      </c>
      <c r="K35" s="212">
        <v>1</v>
      </c>
      <c r="L35" s="213">
        <v>43881</v>
      </c>
      <c r="M35" s="239">
        <v>43916</v>
      </c>
      <c r="N35">
        <v>6</v>
      </c>
      <c r="O35">
        <v>3</v>
      </c>
      <c r="P35" t="s">
        <v>797</v>
      </c>
      <c r="Q35" t="s">
        <v>798</v>
      </c>
      <c r="R35" t="s">
        <v>799</v>
      </c>
      <c r="S35" t="s">
        <v>801</v>
      </c>
      <c r="T35" s="214">
        <v>-0.79283216070215612</v>
      </c>
    </row>
    <row r="36" spans="1:20" x14ac:dyDescent="0.25">
      <c r="A36" s="211">
        <v>27</v>
      </c>
      <c r="B36" s="212">
        <v>6</v>
      </c>
      <c r="C36" s="212">
        <v>1</v>
      </c>
      <c r="D36" s="219">
        <v>2.1428571428571429E-2</v>
      </c>
      <c r="E36" s="215">
        <v>8.2495776139459395E-2</v>
      </c>
      <c r="F36" s="216">
        <v>0</v>
      </c>
      <c r="G36" s="225">
        <v>6.4</v>
      </c>
      <c r="H36" s="224">
        <v>3.6799999999999997</v>
      </c>
      <c r="I36" s="233">
        <v>11</v>
      </c>
      <c r="J36" s="212">
        <v>11</v>
      </c>
      <c r="K36" s="212">
        <v>2</v>
      </c>
      <c r="L36" s="213">
        <v>43902</v>
      </c>
      <c r="M36" s="239">
        <v>43923</v>
      </c>
      <c r="N36">
        <v>7</v>
      </c>
      <c r="O36">
        <v>3</v>
      </c>
      <c r="P36" t="s">
        <v>794</v>
      </c>
      <c r="Q36" t="s">
        <v>798</v>
      </c>
      <c r="R36" t="s">
        <v>796</v>
      </c>
      <c r="S36" t="s">
        <v>800</v>
      </c>
      <c r="T36" s="214">
        <v>8.3655673833484198E-2</v>
      </c>
    </row>
    <row r="37" spans="1:20" x14ac:dyDescent="0.25">
      <c r="A37" s="211">
        <v>28</v>
      </c>
      <c r="B37" s="212">
        <v>8</v>
      </c>
      <c r="C37" s="212">
        <v>4</v>
      </c>
      <c r="D37" s="217">
        <v>2.8571428571428571E-2</v>
      </c>
      <c r="E37" s="216">
        <v>5.2024782759834036E-3</v>
      </c>
      <c r="F37" s="217">
        <v>0.375</v>
      </c>
      <c r="G37" s="224">
        <v>4.8571428571428568</v>
      </c>
      <c r="H37" s="224">
        <v>3.2653061224489797</v>
      </c>
      <c r="I37" s="230">
        <v>6</v>
      </c>
      <c r="J37" s="212">
        <v>14</v>
      </c>
      <c r="K37" s="212">
        <v>1</v>
      </c>
      <c r="L37" s="213">
        <v>43890</v>
      </c>
      <c r="M37" s="236">
        <v>43909</v>
      </c>
      <c r="N37">
        <v>8</v>
      </c>
      <c r="O37">
        <v>3</v>
      </c>
      <c r="P37" t="s">
        <v>797</v>
      </c>
      <c r="Q37" t="s">
        <v>798</v>
      </c>
      <c r="R37" t="s">
        <v>796</v>
      </c>
      <c r="S37" t="s">
        <v>801</v>
      </c>
      <c r="T37" s="214">
        <v>0.76731012829933165</v>
      </c>
    </row>
    <row r="38" spans="1:20" x14ac:dyDescent="0.25">
      <c r="A38" s="211">
        <v>29</v>
      </c>
      <c r="B38" s="212">
        <v>4</v>
      </c>
      <c r="C38" s="212">
        <v>2</v>
      </c>
      <c r="D38" s="215">
        <v>1.4285714285714285E-2</v>
      </c>
      <c r="E38" s="215">
        <v>5.4156603774711105E-2</v>
      </c>
      <c r="F38" s="216">
        <v>0</v>
      </c>
      <c r="G38" s="228">
        <v>12.333333333333334</v>
      </c>
      <c r="H38" s="227">
        <v>7.1111111111111116</v>
      </c>
      <c r="I38" s="233">
        <v>11</v>
      </c>
      <c r="J38" s="212">
        <v>23</v>
      </c>
      <c r="K38" s="212">
        <v>3</v>
      </c>
      <c r="L38" s="213">
        <v>43897</v>
      </c>
      <c r="M38" s="239">
        <v>43939</v>
      </c>
      <c r="N38">
        <v>9</v>
      </c>
      <c r="O38">
        <v>3</v>
      </c>
      <c r="P38" t="s">
        <v>794</v>
      </c>
      <c r="Q38" t="s">
        <v>798</v>
      </c>
      <c r="R38" t="s">
        <v>796</v>
      </c>
      <c r="S38" t="s">
        <v>800</v>
      </c>
      <c r="T38" s="214">
        <v>-0.42593012623314203</v>
      </c>
    </row>
    <row r="39" spans="1:20" x14ac:dyDescent="0.25">
      <c r="A39" s="211">
        <v>30</v>
      </c>
      <c r="B39" s="212">
        <v>5</v>
      </c>
      <c r="C39" s="212">
        <v>8</v>
      </c>
      <c r="D39" s="218">
        <v>1.7857142857142856E-2</v>
      </c>
      <c r="E39" s="216">
        <v>6.6076422872765999E-7</v>
      </c>
      <c r="F39" s="218">
        <v>0.2</v>
      </c>
      <c r="G39" s="225">
        <v>6.75</v>
      </c>
      <c r="H39" s="224">
        <v>2.25</v>
      </c>
      <c r="I39" s="231">
        <v>9</v>
      </c>
      <c r="J39" s="212">
        <v>9</v>
      </c>
      <c r="K39" s="212">
        <v>3</v>
      </c>
      <c r="L39" s="213">
        <v>43876</v>
      </c>
      <c r="M39" s="236">
        <v>43909</v>
      </c>
      <c r="N39">
        <v>0</v>
      </c>
      <c r="O39">
        <v>4</v>
      </c>
      <c r="P39" t="s">
        <v>797</v>
      </c>
      <c r="Q39" t="s">
        <v>798</v>
      </c>
      <c r="R39" t="s">
        <v>796</v>
      </c>
      <c r="S39" t="s">
        <v>801</v>
      </c>
      <c r="T39" s="214">
        <v>-0.15951876304052912</v>
      </c>
    </row>
    <row r="40" spans="1:20" x14ac:dyDescent="0.25">
      <c r="A40" s="237">
        <v>31</v>
      </c>
      <c r="B40" s="212">
        <v>5</v>
      </c>
      <c r="C40" s="212">
        <v>6</v>
      </c>
      <c r="D40" s="218">
        <v>1.7857142857142856E-2</v>
      </c>
      <c r="E40" s="216">
        <v>1.478277405887464E-7</v>
      </c>
      <c r="F40" s="216">
        <v>0</v>
      </c>
      <c r="G40" s="224">
        <v>5.25</v>
      </c>
      <c r="H40" s="227">
        <v>5.875</v>
      </c>
      <c r="I40" s="229">
        <v>1</v>
      </c>
      <c r="J40" s="212">
        <v>17</v>
      </c>
      <c r="K40" s="212">
        <v>1</v>
      </c>
      <c r="L40" s="213">
        <v>43883</v>
      </c>
      <c r="M40" s="221">
        <v>43972</v>
      </c>
      <c r="N40">
        <v>1</v>
      </c>
      <c r="O40">
        <v>4</v>
      </c>
      <c r="P40" t="s">
        <v>794</v>
      </c>
      <c r="Q40" t="s">
        <v>798</v>
      </c>
      <c r="R40" t="s">
        <v>799</v>
      </c>
      <c r="S40" t="s">
        <v>801</v>
      </c>
      <c r="T40" s="214">
        <v>-0.63403486532554887</v>
      </c>
    </row>
    <row r="41" spans="1:20" x14ac:dyDescent="0.25">
      <c r="A41" s="211">
        <v>32</v>
      </c>
      <c r="B41" s="212">
        <v>4</v>
      </c>
      <c r="C41" s="212">
        <v>21</v>
      </c>
      <c r="D41" s="215">
        <v>1.4285714285714285E-2</v>
      </c>
      <c r="E41" s="216">
        <v>8.0488337549865094E-84</v>
      </c>
      <c r="F41" s="216">
        <v>0</v>
      </c>
      <c r="G41" s="223">
        <v>2</v>
      </c>
      <c r="H41" s="223">
        <v>1.3333333333333333</v>
      </c>
      <c r="I41" s="229">
        <v>1</v>
      </c>
      <c r="J41" s="212">
        <v>4</v>
      </c>
      <c r="K41" s="212">
        <v>1</v>
      </c>
      <c r="L41" s="213">
        <v>43832</v>
      </c>
      <c r="M41" s="236">
        <v>43904</v>
      </c>
      <c r="N41">
        <v>2</v>
      </c>
      <c r="O41">
        <v>4</v>
      </c>
      <c r="P41" t="s">
        <v>797</v>
      </c>
      <c r="Q41" t="s">
        <v>798</v>
      </c>
      <c r="R41" t="s">
        <v>796</v>
      </c>
      <c r="S41" t="s">
        <v>28</v>
      </c>
      <c r="T41" s="214">
        <v>-0.79283216313034732</v>
      </c>
    </row>
    <row r="42" spans="1:20" x14ac:dyDescent="0.25">
      <c r="A42" s="211">
        <v>33</v>
      </c>
      <c r="B42" s="212">
        <v>7</v>
      </c>
      <c r="C42" s="212">
        <v>2</v>
      </c>
      <c r="D42" s="219">
        <v>2.5000000000000001E-2</v>
      </c>
      <c r="E42" s="218">
        <v>9.3763291518954406E-2</v>
      </c>
      <c r="F42" s="216">
        <v>0</v>
      </c>
      <c r="G42" s="224">
        <v>5.333333333333333</v>
      </c>
      <c r="H42" s="224">
        <v>3.6666666666666665</v>
      </c>
      <c r="I42" s="229">
        <v>1</v>
      </c>
      <c r="J42" s="212">
        <v>11</v>
      </c>
      <c r="K42" s="212">
        <v>1</v>
      </c>
      <c r="L42" s="213">
        <v>43897</v>
      </c>
      <c r="M42" s="239">
        <v>43916</v>
      </c>
      <c r="N42">
        <v>3</v>
      </c>
      <c r="O42">
        <v>4</v>
      </c>
      <c r="P42" t="s">
        <v>794</v>
      </c>
      <c r="Q42" t="s">
        <v>798</v>
      </c>
      <c r="R42" t="s">
        <v>796</v>
      </c>
      <c r="S42" t="s">
        <v>800</v>
      </c>
      <c r="T42" s="214">
        <v>0.3187875239747901</v>
      </c>
    </row>
    <row r="43" spans="1:20" x14ac:dyDescent="0.25">
      <c r="A43" s="237">
        <v>34</v>
      </c>
      <c r="B43" s="212">
        <v>8</v>
      </c>
      <c r="C43" s="212">
        <v>5</v>
      </c>
      <c r="D43" s="217">
        <v>2.8571428571428571E-2</v>
      </c>
      <c r="E43" s="216">
        <v>3.3436400454832566E-3</v>
      </c>
      <c r="F43" s="217">
        <v>0.375</v>
      </c>
      <c r="G43" s="224">
        <v>5</v>
      </c>
      <c r="H43" s="224">
        <v>2.2857142857142856</v>
      </c>
      <c r="I43" s="229">
        <v>3</v>
      </c>
      <c r="J43" s="212">
        <v>9</v>
      </c>
      <c r="K43" s="212">
        <v>1</v>
      </c>
      <c r="L43" s="213">
        <v>43888</v>
      </c>
      <c r="M43" s="236">
        <v>43909</v>
      </c>
      <c r="N43">
        <v>4</v>
      </c>
      <c r="O43">
        <v>4</v>
      </c>
      <c r="P43" t="s">
        <v>797</v>
      </c>
      <c r="Q43" t="s">
        <v>798</v>
      </c>
      <c r="R43" t="s">
        <v>796</v>
      </c>
      <c r="S43" t="s">
        <v>801</v>
      </c>
      <c r="T43" s="214">
        <v>0.75471680660822182</v>
      </c>
    </row>
    <row r="44" spans="1:20" x14ac:dyDescent="0.25">
      <c r="A44" s="211">
        <v>35</v>
      </c>
      <c r="B44" s="212">
        <v>1</v>
      </c>
      <c r="C44" s="212">
        <v>23</v>
      </c>
      <c r="D44" s="216">
        <v>3.5714285714285713E-3</v>
      </c>
      <c r="E44" s="216">
        <v>0</v>
      </c>
      <c r="F44" s="216">
        <v>0</v>
      </c>
      <c r="G44" s="223">
        <v>0</v>
      </c>
      <c r="H44" s="223">
        <v>0</v>
      </c>
      <c r="I44" s="229">
        <v>0</v>
      </c>
      <c r="J44" s="212">
        <v>0</v>
      </c>
      <c r="K44" s="212">
        <v>0</v>
      </c>
      <c r="L44" s="213">
        <v>43825</v>
      </c>
      <c r="M44" s="236">
        <v>43904</v>
      </c>
      <c r="N44">
        <v>5</v>
      </c>
      <c r="O44">
        <v>4</v>
      </c>
      <c r="P44" t="s">
        <v>794</v>
      </c>
      <c r="Q44" t="s">
        <v>798</v>
      </c>
      <c r="R44" t="s">
        <v>796</v>
      </c>
      <c r="S44" t="s">
        <v>28</v>
      </c>
      <c r="T44" s="214">
        <v>-1.2692210520192362</v>
      </c>
    </row>
    <row r="45" spans="1:20" x14ac:dyDescent="0.25">
      <c r="A45" s="211">
        <v>36</v>
      </c>
      <c r="B45" s="212">
        <v>9</v>
      </c>
      <c r="C45" s="212">
        <v>4</v>
      </c>
      <c r="D45" s="220">
        <v>3.214285714285714E-2</v>
      </c>
      <c r="E45" s="218">
        <v>0.11511279574498023</v>
      </c>
      <c r="F45" s="219">
        <v>0.33333333333333331</v>
      </c>
      <c r="G45" s="224">
        <v>4.5</v>
      </c>
      <c r="H45" s="223">
        <v>1.625</v>
      </c>
      <c r="I45" s="230">
        <v>6</v>
      </c>
      <c r="J45" s="212">
        <v>7</v>
      </c>
      <c r="K45" s="212">
        <v>1</v>
      </c>
      <c r="L45" s="213">
        <v>43890</v>
      </c>
      <c r="M45" s="236">
        <v>43904</v>
      </c>
      <c r="N45">
        <v>6</v>
      </c>
      <c r="O45">
        <v>4</v>
      </c>
      <c r="P45" t="s">
        <v>797</v>
      </c>
      <c r="Q45" t="s">
        <v>798</v>
      </c>
      <c r="R45" t="s">
        <v>796</v>
      </c>
      <c r="S45" t="s">
        <v>801</v>
      </c>
      <c r="T45" s="214">
        <v>1.5718738567074351</v>
      </c>
    </row>
    <row r="46" spans="1:20" x14ac:dyDescent="0.25">
      <c r="A46" s="237">
        <v>37</v>
      </c>
      <c r="B46" s="212">
        <v>7</v>
      </c>
      <c r="C46" s="212">
        <v>6</v>
      </c>
      <c r="D46" s="219">
        <v>2.5000000000000001E-2</v>
      </c>
      <c r="E46" s="216">
        <v>2.8427086825176823E-5</v>
      </c>
      <c r="F46" s="215">
        <v>0.14285714285714285</v>
      </c>
      <c r="G46" s="224">
        <v>5.666666666666667</v>
      </c>
      <c r="H46" s="224">
        <v>3</v>
      </c>
      <c r="I46" s="231">
        <v>8</v>
      </c>
      <c r="J46" s="212">
        <v>10</v>
      </c>
      <c r="K46" s="212">
        <v>1</v>
      </c>
      <c r="L46" s="213">
        <v>43883</v>
      </c>
      <c r="M46" s="239">
        <v>43916</v>
      </c>
      <c r="N46">
        <v>7</v>
      </c>
      <c r="O46">
        <v>4</v>
      </c>
      <c r="P46" t="s">
        <v>794</v>
      </c>
      <c r="Q46" t="s">
        <v>798</v>
      </c>
      <c r="R46" t="s">
        <v>796</v>
      </c>
      <c r="S46" t="s">
        <v>801</v>
      </c>
      <c r="T46" s="214">
        <v>2.2686905447033112E-2</v>
      </c>
    </row>
    <row r="47" spans="1:20" x14ac:dyDescent="0.25">
      <c r="A47" s="211">
        <v>38</v>
      </c>
      <c r="B47" s="212">
        <v>4</v>
      </c>
      <c r="C47" s="212">
        <v>1</v>
      </c>
      <c r="D47" s="215">
        <v>1.4285714285714285E-2</v>
      </c>
      <c r="E47" s="216">
        <v>4.2873762143165788E-8</v>
      </c>
      <c r="F47" s="216">
        <v>0</v>
      </c>
      <c r="G47" s="227">
        <v>11.666666666666666</v>
      </c>
      <c r="H47" s="223">
        <v>1.7777777777777779</v>
      </c>
      <c r="I47" s="233">
        <v>12</v>
      </c>
      <c r="J47" s="212">
        <v>14</v>
      </c>
      <c r="K47" s="212">
        <v>9</v>
      </c>
      <c r="L47" s="213">
        <v>43902</v>
      </c>
      <c r="M47" s="221">
        <v>43944</v>
      </c>
      <c r="N47">
        <v>8</v>
      </c>
      <c r="O47">
        <v>4</v>
      </c>
      <c r="P47" t="s">
        <v>797</v>
      </c>
      <c r="Q47" t="s">
        <v>798</v>
      </c>
      <c r="R47" t="s">
        <v>796</v>
      </c>
      <c r="S47" t="s">
        <v>800</v>
      </c>
      <c r="T47" s="214">
        <v>-0.79283187266769717</v>
      </c>
    </row>
    <row r="48" spans="1:20" x14ac:dyDescent="0.25">
      <c r="A48" s="211">
        <v>39</v>
      </c>
      <c r="B48" s="212">
        <v>6</v>
      </c>
      <c r="C48" s="212">
        <v>3</v>
      </c>
      <c r="D48" s="219">
        <v>2.1428571428571429E-2</v>
      </c>
      <c r="E48" s="220">
        <v>0.25955613909638803</v>
      </c>
      <c r="F48" s="219">
        <v>0.33333333333333331</v>
      </c>
      <c r="G48" s="224">
        <v>3.8</v>
      </c>
      <c r="H48" s="223">
        <v>1.44</v>
      </c>
      <c r="I48" s="230">
        <v>4</v>
      </c>
      <c r="J48" s="212">
        <v>6</v>
      </c>
      <c r="K48" s="212">
        <v>1</v>
      </c>
      <c r="L48" s="213">
        <v>43895</v>
      </c>
      <c r="M48" s="236">
        <v>43909</v>
      </c>
      <c r="N48">
        <v>9</v>
      </c>
      <c r="O48">
        <v>4</v>
      </c>
      <c r="P48" t="s">
        <v>794</v>
      </c>
      <c r="Q48" t="s">
        <v>798</v>
      </c>
      <c r="R48" t="s">
        <v>796</v>
      </c>
      <c r="S48" t="s">
        <v>800</v>
      </c>
      <c r="T48" s="214">
        <v>2.0740647382993003</v>
      </c>
    </row>
    <row r="49" spans="1:20" x14ac:dyDescent="0.25">
      <c r="A49" s="211">
        <v>40</v>
      </c>
      <c r="B49" s="212">
        <v>9</v>
      </c>
      <c r="C49" s="212">
        <v>9</v>
      </c>
      <c r="D49" s="220">
        <v>3.214285714285714E-2</v>
      </c>
      <c r="E49" s="216">
        <v>4.8607062795412901E-9</v>
      </c>
      <c r="F49" s="216">
        <v>0</v>
      </c>
      <c r="G49" s="224">
        <v>3.75</v>
      </c>
      <c r="H49" s="223">
        <v>1.25</v>
      </c>
      <c r="I49" s="230">
        <v>6</v>
      </c>
      <c r="J49" s="212">
        <v>6</v>
      </c>
      <c r="K49" s="212">
        <v>2</v>
      </c>
      <c r="L49" s="213">
        <v>43874</v>
      </c>
      <c r="M49" s="236">
        <v>43904</v>
      </c>
      <c r="N49">
        <v>0</v>
      </c>
      <c r="O49">
        <v>5</v>
      </c>
      <c r="P49" t="s">
        <v>797</v>
      </c>
      <c r="Q49" t="s">
        <v>798</v>
      </c>
      <c r="R49" t="s">
        <v>796</v>
      </c>
      <c r="S49" t="s">
        <v>801</v>
      </c>
      <c r="T49" s="214">
        <v>1.1493512816155294E-3</v>
      </c>
    </row>
    <row r="50" spans="1:20" x14ac:dyDescent="0.25">
      <c r="A50" s="211">
        <v>41</v>
      </c>
      <c r="B50" s="212">
        <v>9</v>
      </c>
      <c r="C50" s="212">
        <v>4</v>
      </c>
      <c r="D50" s="220">
        <v>3.214285714285714E-2</v>
      </c>
      <c r="E50" s="216">
        <v>5.1685590665308681E-3</v>
      </c>
      <c r="F50" s="217">
        <v>0.44444444444444442</v>
      </c>
      <c r="G50" s="224">
        <v>4.125</v>
      </c>
      <c r="H50" s="224">
        <v>2.875</v>
      </c>
      <c r="I50" s="229">
        <v>1</v>
      </c>
      <c r="J50" s="212">
        <v>8</v>
      </c>
      <c r="K50" s="212">
        <v>1</v>
      </c>
      <c r="L50" s="213">
        <v>43890</v>
      </c>
      <c r="M50" s="236">
        <v>43904</v>
      </c>
      <c r="N50">
        <v>1</v>
      </c>
      <c r="O50">
        <v>5</v>
      </c>
      <c r="P50" t="s">
        <v>794</v>
      </c>
      <c r="Q50" t="s">
        <v>798</v>
      </c>
      <c r="R50" t="s">
        <v>796</v>
      </c>
      <c r="S50" t="s">
        <v>801</v>
      </c>
      <c r="T50" s="214">
        <v>1.0906379564570376</v>
      </c>
    </row>
    <row r="51" spans="1:20" x14ac:dyDescent="0.25">
      <c r="A51" s="211">
        <v>42</v>
      </c>
      <c r="B51" s="212">
        <v>8</v>
      </c>
      <c r="C51" s="212">
        <v>5</v>
      </c>
      <c r="D51" s="217">
        <v>2.8571428571428571E-2</v>
      </c>
      <c r="E51" s="216">
        <v>5.4745423051923391E-3</v>
      </c>
      <c r="F51" s="218">
        <v>0.25</v>
      </c>
      <c r="G51" s="224">
        <v>4.8571428571428568</v>
      </c>
      <c r="H51" s="224">
        <v>2.0816326530612241</v>
      </c>
      <c r="I51" s="230">
        <v>4</v>
      </c>
      <c r="J51" s="212">
        <v>9</v>
      </c>
      <c r="K51" s="212">
        <v>2</v>
      </c>
      <c r="L51" s="213">
        <v>43888</v>
      </c>
      <c r="M51" s="236">
        <v>43909</v>
      </c>
      <c r="N51">
        <v>2</v>
      </c>
      <c r="O51">
        <v>5</v>
      </c>
      <c r="P51" t="s">
        <v>797</v>
      </c>
      <c r="Q51" t="s">
        <v>798</v>
      </c>
      <c r="R51" t="s">
        <v>796</v>
      </c>
      <c r="S51" t="s">
        <v>801</v>
      </c>
      <c r="T51" s="214">
        <v>0.47258292510135363</v>
      </c>
    </row>
    <row r="52" spans="1:20" x14ac:dyDescent="0.25">
      <c r="A52" s="211">
        <v>43</v>
      </c>
      <c r="B52" s="212">
        <v>4</v>
      </c>
      <c r="C52" s="212">
        <v>23</v>
      </c>
      <c r="D52" s="215">
        <v>1.4285714285714285E-2</v>
      </c>
      <c r="E52" s="216">
        <v>4.1407112713494905E-88</v>
      </c>
      <c r="F52" s="216">
        <v>0</v>
      </c>
      <c r="G52" s="224">
        <v>4</v>
      </c>
      <c r="H52" s="223">
        <v>1.3333333333333333</v>
      </c>
      <c r="I52" s="230">
        <v>4</v>
      </c>
      <c r="J52" s="212">
        <v>6</v>
      </c>
      <c r="K52" s="212">
        <v>2</v>
      </c>
      <c r="L52" s="213">
        <v>43825</v>
      </c>
      <c r="M52" s="236">
        <v>43904</v>
      </c>
      <c r="N52">
        <v>3</v>
      </c>
      <c r="O52">
        <v>5</v>
      </c>
      <c r="P52" t="s">
        <v>794</v>
      </c>
      <c r="Q52" t="s">
        <v>798</v>
      </c>
      <c r="R52" t="s">
        <v>796</v>
      </c>
      <c r="S52" t="s">
        <v>28</v>
      </c>
      <c r="T52" s="214">
        <v>-0.79283216313034732</v>
      </c>
    </row>
    <row r="53" spans="1:20" x14ac:dyDescent="0.25">
      <c r="A53" s="238">
        <v>44</v>
      </c>
      <c r="B53" s="212">
        <v>10</v>
      </c>
      <c r="C53" s="212">
        <v>6</v>
      </c>
      <c r="D53" s="220">
        <v>3.5714285714285712E-2</v>
      </c>
      <c r="E53" s="216">
        <v>4.1767185132355894E-6</v>
      </c>
      <c r="F53" s="215">
        <v>0.1</v>
      </c>
      <c r="G53" s="224">
        <v>3.6666666666666665</v>
      </c>
      <c r="H53" s="224">
        <v>2.592592592592593</v>
      </c>
      <c r="I53" s="229">
        <v>2</v>
      </c>
      <c r="J53" s="212">
        <v>13</v>
      </c>
      <c r="K53" s="212">
        <v>1</v>
      </c>
      <c r="L53" s="213">
        <v>43883</v>
      </c>
      <c r="M53" s="236">
        <v>43904</v>
      </c>
      <c r="N53">
        <v>4</v>
      </c>
      <c r="O53">
        <v>5</v>
      </c>
      <c r="P53" t="s">
        <v>797</v>
      </c>
      <c r="Q53" t="s">
        <v>798</v>
      </c>
      <c r="R53" t="s">
        <v>796</v>
      </c>
      <c r="S53" t="s">
        <v>801</v>
      </c>
      <c r="T53" s="214">
        <v>0.39723022483738152</v>
      </c>
    </row>
    <row r="54" spans="1:20" x14ac:dyDescent="0.25">
      <c r="A54" s="237">
        <v>45</v>
      </c>
      <c r="B54" s="212">
        <v>6</v>
      </c>
      <c r="C54" s="212">
        <v>8</v>
      </c>
      <c r="D54" s="219">
        <v>2.1428571428571429E-2</v>
      </c>
      <c r="E54" s="216">
        <v>3.423911504705592E-12</v>
      </c>
      <c r="F54" s="216">
        <v>0</v>
      </c>
      <c r="G54" s="224">
        <v>5.6</v>
      </c>
      <c r="H54" s="225">
        <v>5.12</v>
      </c>
      <c r="I54" s="233">
        <v>12</v>
      </c>
      <c r="J54" s="212">
        <v>12</v>
      </c>
      <c r="K54" s="212">
        <v>1</v>
      </c>
      <c r="L54" s="213">
        <v>43876</v>
      </c>
      <c r="M54" s="239">
        <v>43930</v>
      </c>
      <c r="N54">
        <v>5</v>
      </c>
      <c r="O54">
        <v>5</v>
      </c>
      <c r="P54" t="s">
        <v>794</v>
      </c>
      <c r="Q54" t="s">
        <v>798</v>
      </c>
      <c r="R54" t="s">
        <v>796</v>
      </c>
      <c r="S54" t="s">
        <v>801</v>
      </c>
      <c r="T54" s="214">
        <v>-0.47523957051455828</v>
      </c>
    </row>
    <row r="55" spans="1:20" x14ac:dyDescent="0.25">
      <c r="A55" s="211">
        <v>46</v>
      </c>
      <c r="B55" s="212">
        <v>10</v>
      </c>
      <c r="C55" s="212">
        <v>3</v>
      </c>
      <c r="D55" s="220">
        <v>3.5714285714285712E-2</v>
      </c>
      <c r="E55" s="219">
        <v>0.1424462345149265</v>
      </c>
      <c r="F55" s="217">
        <v>0.4</v>
      </c>
      <c r="G55" s="224">
        <v>4.1111111111111107</v>
      </c>
      <c r="H55" s="224">
        <v>1.9259259259259258</v>
      </c>
      <c r="I55" s="229">
        <v>2</v>
      </c>
      <c r="J55" s="212">
        <v>8</v>
      </c>
      <c r="K55" s="212">
        <v>1</v>
      </c>
      <c r="L55" s="213">
        <v>43895</v>
      </c>
      <c r="M55" s="236">
        <v>43909</v>
      </c>
      <c r="N55">
        <v>6</v>
      </c>
      <c r="O55">
        <v>5</v>
      </c>
      <c r="P55" t="s">
        <v>797</v>
      </c>
      <c r="Q55" t="s">
        <v>798</v>
      </c>
      <c r="R55" t="s">
        <v>796</v>
      </c>
      <c r="S55" t="s">
        <v>800</v>
      </c>
      <c r="T55" s="214">
        <v>2.0740205573919748</v>
      </c>
    </row>
    <row r="56" spans="1:20" x14ac:dyDescent="0.25">
      <c r="A56" s="211">
        <v>47</v>
      </c>
      <c r="B56" s="212">
        <v>4</v>
      </c>
      <c r="C56" s="212">
        <v>4</v>
      </c>
      <c r="D56" s="215">
        <v>1.4285714285714285E-2</v>
      </c>
      <c r="E56" s="219">
        <v>0.13768744225149215</v>
      </c>
      <c r="F56" s="216">
        <v>0</v>
      </c>
      <c r="G56" s="227">
        <v>11.333333333333334</v>
      </c>
      <c r="H56" s="224">
        <v>2.8888888888888888</v>
      </c>
      <c r="I56" s="233">
        <v>12</v>
      </c>
      <c r="J56" s="212">
        <v>15</v>
      </c>
      <c r="K56" s="212">
        <v>7</v>
      </c>
      <c r="L56" s="213">
        <v>43890</v>
      </c>
      <c r="M56" s="239">
        <v>43930</v>
      </c>
      <c r="N56">
        <v>7</v>
      </c>
      <c r="O56">
        <v>5</v>
      </c>
      <c r="P56" t="s">
        <v>794</v>
      </c>
      <c r="Q56" t="s">
        <v>798</v>
      </c>
      <c r="R56" t="s">
        <v>796</v>
      </c>
      <c r="S56" t="s">
        <v>801</v>
      </c>
      <c r="T56" s="214">
        <v>0.13997749434726073</v>
      </c>
    </row>
    <row r="57" spans="1:20" x14ac:dyDescent="0.25">
      <c r="A57" s="211">
        <v>48</v>
      </c>
      <c r="B57" s="212">
        <v>3</v>
      </c>
      <c r="C57" s="212">
        <v>19</v>
      </c>
      <c r="D57" s="215">
        <v>1.0714285714285714E-2</v>
      </c>
      <c r="E57" s="216">
        <v>0</v>
      </c>
      <c r="F57" s="216">
        <v>0</v>
      </c>
      <c r="G57" s="223">
        <v>3</v>
      </c>
      <c r="H57" s="223">
        <v>0</v>
      </c>
      <c r="I57" s="229">
        <v>3</v>
      </c>
      <c r="J57" s="212">
        <v>3</v>
      </c>
      <c r="K57" s="212">
        <v>3</v>
      </c>
      <c r="L57" s="213">
        <v>43839</v>
      </c>
      <c r="M57" s="236">
        <v>43904</v>
      </c>
      <c r="N57">
        <v>8</v>
      </c>
      <c r="O57">
        <v>5</v>
      </c>
      <c r="P57" t="s">
        <v>797</v>
      </c>
      <c r="Q57" t="s">
        <v>798</v>
      </c>
      <c r="R57" t="s">
        <v>796</v>
      </c>
      <c r="S57" t="s">
        <v>28</v>
      </c>
      <c r="T57" s="214">
        <v>-0.95162845942664376</v>
      </c>
    </row>
    <row r="58" spans="1:20" x14ac:dyDescent="0.25">
      <c r="A58" s="211">
        <v>49</v>
      </c>
      <c r="B58" s="212">
        <v>4</v>
      </c>
      <c r="C58" s="212">
        <v>1</v>
      </c>
      <c r="D58" s="215">
        <v>1.4285714285714285E-2</v>
      </c>
      <c r="E58" s="217">
        <v>0.17603266337065721</v>
      </c>
      <c r="F58" s="216">
        <v>0</v>
      </c>
      <c r="G58" s="223">
        <v>3</v>
      </c>
      <c r="H58" s="224">
        <v>2</v>
      </c>
      <c r="I58" s="229">
        <v>2</v>
      </c>
      <c r="J58" s="212">
        <v>6</v>
      </c>
      <c r="K58" s="212">
        <v>1</v>
      </c>
      <c r="L58" s="213">
        <v>43902</v>
      </c>
      <c r="M58" s="239">
        <v>43911</v>
      </c>
      <c r="N58">
        <v>9</v>
      </c>
      <c r="O58">
        <v>5</v>
      </c>
      <c r="P58" t="s">
        <v>794</v>
      </c>
      <c r="Q58" t="s">
        <v>798</v>
      </c>
      <c r="R58" t="s">
        <v>796</v>
      </c>
      <c r="S58" t="s">
        <v>800</v>
      </c>
      <c r="T58" s="214">
        <v>0.39976002783886438</v>
      </c>
    </row>
  </sheetData>
  <autoFilter ref="A9:T58" xr:uid="{B9D3462B-55BA-49E5-9700-46F3584C225A}"/>
  <sortState ref="D2:K28">
    <sortCondition descending="1" ref="G3"/>
  </sortState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8"/>
  <dimension ref="B1:S58"/>
  <sheetViews>
    <sheetView topLeftCell="A10" zoomScale="160" zoomScaleNormal="160" workbookViewId="0">
      <selection sqref="A1:XFD9"/>
    </sheetView>
  </sheetViews>
  <sheetFormatPr baseColWidth="10" defaultColWidth="11.42578125" defaultRowHeight="15" x14ac:dyDescent="0.25"/>
  <cols>
    <col min="1" max="1" width="4.85546875" customWidth="1"/>
    <col min="2" max="8" width="3" bestFit="1" customWidth="1"/>
    <col min="9" max="9" width="5.140625" customWidth="1"/>
    <col min="10" max="16" width="3" bestFit="1" customWidth="1"/>
    <col min="17" max="17" width="3.85546875" hidden="1" customWidth="1"/>
    <col min="18" max="18" width="5.5703125" customWidth="1"/>
    <col min="19" max="19" width="6.7109375" bestFit="1" customWidth="1"/>
    <col min="20" max="35" width="10.85546875" customWidth="1"/>
  </cols>
  <sheetData>
    <row r="1" spans="2:19" ht="15.75" hidden="1" x14ac:dyDescent="0.25">
      <c r="B1" s="207" t="s">
        <v>692</v>
      </c>
      <c r="C1" s="208"/>
      <c r="D1" s="208"/>
      <c r="E1" s="208"/>
      <c r="F1" s="208"/>
      <c r="G1" s="208"/>
      <c r="H1" s="209"/>
      <c r="J1" s="207" t="s">
        <v>693</v>
      </c>
      <c r="K1" s="208"/>
      <c r="L1" s="208"/>
      <c r="M1" s="208"/>
      <c r="N1" s="208"/>
      <c r="O1" s="208"/>
      <c r="P1" s="209"/>
      <c r="S1" s="45" t="s">
        <v>619</v>
      </c>
    </row>
    <row r="2" spans="2:19" hidden="1" x14ac:dyDescent="0.25">
      <c r="B2" s="72" t="s">
        <v>635</v>
      </c>
      <c r="C2" s="73" t="s">
        <v>636</v>
      </c>
      <c r="D2" s="73" t="s">
        <v>637</v>
      </c>
      <c r="E2" s="73" t="s">
        <v>638</v>
      </c>
      <c r="F2" s="73" t="s">
        <v>639</v>
      </c>
      <c r="G2" s="73" t="s">
        <v>640</v>
      </c>
      <c r="H2" s="74" t="s">
        <v>641</v>
      </c>
      <c r="J2" s="72" t="s">
        <v>635</v>
      </c>
      <c r="K2" s="73" t="s">
        <v>636</v>
      </c>
      <c r="L2" s="73" t="s">
        <v>637</v>
      </c>
      <c r="M2" s="73" t="s">
        <v>638</v>
      </c>
      <c r="N2" s="73" t="s">
        <v>639</v>
      </c>
      <c r="O2" s="73" t="s">
        <v>640</v>
      </c>
      <c r="P2" s="74" t="s">
        <v>641</v>
      </c>
      <c r="S2" s="49" t="s">
        <v>642</v>
      </c>
    </row>
    <row r="3" spans="2:19" ht="15.75" hidden="1" customHeight="1" x14ac:dyDescent="0.25">
      <c r="B3" s="50"/>
      <c r="C3" s="51"/>
      <c r="D3" s="51"/>
      <c r="E3" s="51"/>
      <c r="F3" s="60">
        <f t="shared" ref="F3:F6" si="0">+E3+1</f>
        <v>1</v>
      </c>
      <c r="G3" s="60">
        <f t="shared" ref="G3:G6" si="1">+F3+1</f>
        <v>2</v>
      </c>
      <c r="H3" s="83">
        <f t="shared" ref="H3:H6" si="2">+G3+1</f>
        <v>3</v>
      </c>
      <c r="J3" s="116"/>
      <c r="K3" s="117"/>
      <c r="L3" s="117"/>
      <c r="M3" s="117"/>
      <c r="N3" s="117"/>
      <c r="O3" s="117"/>
      <c r="P3" s="83">
        <f t="shared" ref="P3:P7" si="3">+O3+1</f>
        <v>1</v>
      </c>
    </row>
    <row r="4" spans="2:19" hidden="1" x14ac:dyDescent="0.25">
      <c r="B4" s="54">
        <f>+H3+1</f>
        <v>4</v>
      </c>
      <c r="C4" s="114">
        <f t="shared" ref="C4:C7" si="4">+B4+1</f>
        <v>5</v>
      </c>
      <c r="D4" s="113">
        <f t="shared" ref="D4:D7" si="5">+C4+1</f>
        <v>6</v>
      </c>
      <c r="E4" s="114">
        <f t="shared" ref="E4:G7" si="6">+D4+1</f>
        <v>7</v>
      </c>
      <c r="F4" s="113">
        <f t="shared" si="0"/>
        <v>8</v>
      </c>
      <c r="G4" s="113">
        <f t="shared" si="1"/>
        <v>9</v>
      </c>
      <c r="H4" s="84">
        <f t="shared" si="2"/>
        <v>10</v>
      </c>
      <c r="J4" s="54">
        <f>+P3+1</f>
        <v>2</v>
      </c>
      <c r="K4" s="114">
        <f t="shared" ref="K4:K7" si="7">+J4+1</f>
        <v>3</v>
      </c>
      <c r="L4" s="113">
        <f t="shared" ref="L4:L7" si="8">+K4+1</f>
        <v>4</v>
      </c>
      <c r="M4" s="114">
        <f t="shared" ref="M4:M7" si="9">+L4+1</f>
        <v>5</v>
      </c>
      <c r="N4" s="113">
        <f t="shared" ref="N4:N7" si="10">+M4+1</f>
        <v>6</v>
      </c>
      <c r="O4" s="113">
        <f t="shared" ref="O4:O7" si="11">+N4+1</f>
        <v>7</v>
      </c>
      <c r="P4" s="84">
        <f t="shared" si="3"/>
        <v>8</v>
      </c>
    </row>
    <row r="5" spans="2:19" hidden="1" x14ac:dyDescent="0.25">
      <c r="B5" s="53">
        <f>+H4+1</f>
        <v>11</v>
      </c>
      <c r="C5" s="113">
        <f t="shared" si="4"/>
        <v>12</v>
      </c>
      <c r="D5" s="114">
        <f t="shared" si="5"/>
        <v>13</v>
      </c>
      <c r="E5" s="113">
        <f t="shared" si="6"/>
        <v>14</v>
      </c>
      <c r="F5" s="114">
        <f t="shared" si="0"/>
        <v>15</v>
      </c>
      <c r="G5" s="114">
        <f t="shared" si="1"/>
        <v>16</v>
      </c>
      <c r="H5" s="84">
        <f t="shared" si="2"/>
        <v>17</v>
      </c>
      <c r="J5" s="53">
        <f>+P4+1</f>
        <v>9</v>
      </c>
      <c r="K5" s="113">
        <f t="shared" si="7"/>
        <v>10</v>
      </c>
      <c r="L5" s="114">
        <f t="shared" si="8"/>
        <v>11</v>
      </c>
      <c r="M5" s="113">
        <f t="shared" si="9"/>
        <v>12</v>
      </c>
      <c r="N5" s="114">
        <f t="shared" si="10"/>
        <v>13</v>
      </c>
      <c r="O5" s="114">
        <f t="shared" si="11"/>
        <v>14</v>
      </c>
      <c r="P5" s="84">
        <f t="shared" si="3"/>
        <v>15</v>
      </c>
    </row>
    <row r="6" spans="2:19" hidden="1" x14ac:dyDescent="0.25">
      <c r="B6" s="54">
        <f>+H5+1</f>
        <v>18</v>
      </c>
      <c r="C6" s="114">
        <f t="shared" si="4"/>
        <v>19</v>
      </c>
      <c r="D6" s="113">
        <f t="shared" si="5"/>
        <v>20</v>
      </c>
      <c r="E6" s="114">
        <f t="shared" si="6"/>
        <v>21</v>
      </c>
      <c r="F6" s="113">
        <f t="shared" si="0"/>
        <v>22</v>
      </c>
      <c r="G6" s="113">
        <f t="shared" si="1"/>
        <v>23</v>
      </c>
      <c r="H6" s="84">
        <f t="shared" si="2"/>
        <v>24</v>
      </c>
      <c r="J6" s="54">
        <f>+P5+1</f>
        <v>16</v>
      </c>
      <c r="K6" s="114">
        <f t="shared" si="7"/>
        <v>17</v>
      </c>
      <c r="L6" s="113">
        <f t="shared" si="8"/>
        <v>18</v>
      </c>
      <c r="M6" s="114">
        <f t="shared" si="9"/>
        <v>19</v>
      </c>
      <c r="N6" s="113">
        <f t="shared" si="10"/>
        <v>20</v>
      </c>
      <c r="O6" s="113">
        <f t="shared" si="11"/>
        <v>21</v>
      </c>
      <c r="P6" s="84">
        <f t="shared" si="3"/>
        <v>22</v>
      </c>
    </row>
    <row r="7" spans="2:19" hidden="1" x14ac:dyDescent="0.25">
      <c r="B7" s="75">
        <f>+H6+1</f>
        <v>25</v>
      </c>
      <c r="C7" s="57">
        <f t="shared" si="4"/>
        <v>26</v>
      </c>
      <c r="D7" s="56">
        <f t="shared" si="5"/>
        <v>27</v>
      </c>
      <c r="E7" s="57">
        <f t="shared" si="6"/>
        <v>28</v>
      </c>
      <c r="F7" s="56">
        <f t="shared" si="6"/>
        <v>29</v>
      </c>
      <c r="G7" s="56">
        <f t="shared" si="6"/>
        <v>30</v>
      </c>
      <c r="H7" s="123"/>
      <c r="J7" s="53">
        <f>+P6+1</f>
        <v>23</v>
      </c>
      <c r="K7" s="114">
        <f t="shared" si="7"/>
        <v>24</v>
      </c>
      <c r="L7" s="114">
        <f t="shared" si="8"/>
        <v>25</v>
      </c>
      <c r="M7" s="114">
        <f t="shared" si="9"/>
        <v>26</v>
      </c>
      <c r="N7" s="114">
        <f t="shared" si="10"/>
        <v>27</v>
      </c>
      <c r="O7" s="114">
        <f t="shared" si="11"/>
        <v>28</v>
      </c>
      <c r="P7" s="84">
        <f t="shared" si="3"/>
        <v>29</v>
      </c>
    </row>
    <row r="8" spans="2:19" hidden="1" x14ac:dyDescent="0.25">
      <c r="J8" s="55">
        <f>+P7+1</f>
        <v>30</v>
      </c>
      <c r="K8" s="56">
        <f>+J8+1</f>
        <v>31</v>
      </c>
      <c r="L8" s="122"/>
      <c r="M8" s="122"/>
      <c r="N8" s="122"/>
      <c r="O8" s="122"/>
      <c r="P8" s="58"/>
    </row>
    <row r="9" spans="2:19" hidden="1" x14ac:dyDescent="0.25"/>
    <row r="10" spans="2:19" ht="15.75" x14ac:dyDescent="0.25">
      <c r="B10" s="207" t="s">
        <v>633</v>
      </c>
      <c r="C10" s="208"/>
      <c r="D10" s="208"/>
      <c r="E10" s="208"/>
      <c r="F10" s="208"/>
      <c r="G10" s="208"/>
      <c r="H10" s="209"/>
      <c r="J10" s="207" t="s">
        <v>634</v>
      </c>
      <c r="K10" s="208"/>
      <c r="L10" s="208"/>
      <c r="M10" s="208"/>
      <c r="N10" s="208"/>
      <c r="O10" s="208"/>
      <c r="P10" s="209"/>
      <c r="S10" s="45" t="s">
        <v>619</v>
      </c>
    </row>
    <row r="11" spans="2:19" ht="16.5" customHeight="1" x14ac:dyDescent="0.25">
      <c r="B11" s="46" t="s">
        <v>635</v>
      </c>
      <c r="C11" s="47" t="s">
        <v>636</v>
      </c>
      <c r="D11" s="47" t="s">
        <v>637</v>
      </c>
      <c r="E11" s="47" t="s">
        <v>638</v>
      </c>
      <c r="F11" s="47" t="s">
        <v>639</v>
      </c>
      <c r="G11" s="47" t="s">
        <v>640</v>
      </c>
      <c r="H11" s="48" t="s">
        <v>641</v>
      </c>
      <c r="J11" s="46" t="s">
        <v>635</v>
      </c>
      <c r="K11" s="47" t="s">
        <v>636</v>
      </c>
      <c r="L11" s="47" t="s">
        <v>637</v>
      </c>
      <c r="M11" s="47" t="s">
        <v>638</v>
      </c>
      <c r="N11" s="47" t="s">
        <v>639</v>
      </c>
      <c r="O11" s="47" t="s">
        <v>640</v>
      </c>
      <c r="P11" s="48" t="s">
        <v>641</v>
      </c>
      <c r="S11" s="49" t="s">
        <v>642</v>
      </c>
    </row>
    <row r="12" spans="2:19" x14ac:dyDescent="0.25">
      <c r="B12" s="50"/>
      <c r="C12" s="51"/>
      <c r="D12" s="59">
        <v>1</v>
      </c>
      <c r="E12" s="78">
        <f>D12+1</f>
        <v>2</v>
      </c>
      <c r="F12" s="59">
        <f t="shared" ref="F12:F15" si="12">+E12+1</f>
        <v>3</v>
      </c>
      <c r="G12" s="59">
        <f t="shared" ref="G12:G15" si="13">+F12+1</f>
        <v>4</v>
      </c>
      <c r="H12" s="83">
        <f t="shared" ref="H12:H15" si="14">+G12+1</f>
        <v>5</v>
      </c>
      <c r="J12" s="50"/>
      <c r="K12" s="51"/>
      <c r="L12" s="51"/>
      <c r="M12" s="51"/>
      <c r="N12" s="51"/>
      <c r="O12" s="59">
        <f t="shared" ref="O12:O16" si="15">+N12+1</f>
        <v>1</v>
      </c>
      <c r="P12" s="83">
        <f t="shared" ref="P12:P15" si="16">+O12+1</f>
        <v>2</v>
      </c>
    </row>
    <row r="13" spans="2:19" x14ac:dyDescent="0.25">
      <c r="B13" s="54">
        <f>+H12+1</f>
        <v>6</v>
      </c>
      <c r="C13" s="80">
        <f t="shared" ref="C13:C16" si="17">+B13+1</f>
        <v>7</v>
      </c>
      <c r="D13" s="80">
        <f t="shared" ref="D13:F16" si="18">+C13+1</f>
        <v>8</v>
      </c>
      <c r="E13" s="80">
        <f t="shared" ref="E13:E15" si="19">+D13+1</f>
        <v>9</v>
      </c>
      <c r="F13" s="80">
        <f t="shared" si="12"/>
        <v>10</v>
      </c>
      <c r="G13" s="80">
        <f t="shared" si="13"/>
        <v>11</v>
      </c>
      <c r="H13" s="84">
        <f t="shared" si="14"/>
        <v>12</v>
      </c>
      <c r="J13" s="53">
        <f>+P12+1</f>
        <v>3</v>
      </c>
      <c r="K13" s="113">
        <f t="shared" ref="K13:K16" si="20">+J13+1</f>
        <v>4</v>
      </c>
      <c r="L13" s="114">
        <f t="shared" ref="L13:M16" si="21">+K13+1</f>
        <v>5</v>
      </c>
      <c r="M13" s="113">
        <f t="shared" ref="M13:M15" si="22">+L13+1</f>
        <v>6</v>
      </c>
      <c r="N13" s="114">
        <f t="shared" ref="N13:N16" si="23">+M13+1</f>
        <v>7</v>
      </c>
      <c r="O13" s="114">
        <f t="shared" si="15"/>
        <v>8</v>
      </c>
      <c r="P13" s="84">
        <f t="shared" si="16"/>
        <v>9</v>
      </c>
    </row>
    <row r="14" spans="2:19" x14ac:dyDescent="0.25">
      <c r="B14" s="54">
        <f>+H13+1</f>
        <v>13</v>
      </c>
      <c r="C14" s="80">
        <f t="shared" si="17"/>
        <v>14</v>
      </c>
      <c r="D14" s="52">
        <f t="shared" si="18"/>
        <v>15</v>
      </c>
      <c r="E14" s="80">
        <f t="shared" si="19"/>
        <v>16</v>
      </c>
      <c r="F14" s="52">
        <f t="shared" si="12"/>
        <v>17</v>
      </c>
      <c r="G14" s="52">
        <f t="shared" si="13"/>
        <v>18</v>
      </c>
      <c r="H14" s="84">
        <f t="shared" si="14"/>
        <v>19</v>
      </c>
      <c r="J14" s="54">
        <f>+P13+1</f>
        <v>10</v>
      </c>
      <c r="K14" s="114">
        <f t="shared" si="20"/>
        <v>11</v>
      </c>
      <c r="L14" s="113">
        <f t="shared" si="21"/>
        <v>12</v>
      </c>
      <c r="M14" s="114">
        <f t="shared" si="22"/>
        <v>13</v>
      </c>
      <c r="N14" s="113">
        <f t="shared" si="23"/>
        <v>14</v>
      </c>
      <c r="O14" s="113">
        <f t="shared" si="15"/>
        <v>15</v>
      </c>
      <c r="P14" s="84">
        <f t="shared" si="16"/>
        <v>16</v>
      </c>
    </row>
    <row r="15" spans="2:19" x14ac:dyDescent="0.25">
      <c r="B15" s="79">
        <f>+H14+1</f>
        <v>20</v>
      </c>
      <c r="C15" s="52">
        <f t="shared" si="17"/>
        <v>21</v>
      </c>
      <c r="D15" s="80">
        <f t="shared" si="18"/>
        <v>22</v>
      </c>
      <c r="E15" s="52">
        <f t="shared" si="19"/>
        <v>23</v>
      </c>
      <c r="F15" s="80">
        <f t="shared" si="12"/>
        <v>24</v>
      </c>
      <c r="G15" s="80">
        <f t="shared" si="13"/>
        <v>25</v>
      </c>
      <c r="H15" s="84">
        <f t="shared" si="14"/>
        <v>26</v>
      </c>
      <c r="J15" s="53">
        <f>+P14+1</f>
        <v>17</v>
      </c>
      <c r="K15" s="113">
        <f t="shared" si="20"/>
        <v>18</v>
      </c>
      <c r="L15" s="114">
        <f t="shared" si="21"/>
        <v>19</v>
      </c>
      <c r="M15" s="113">
        <f t="shared" si="22"/>
        <v>20</v>
      </c>
      <c r="N15" s="114">
        <f t="shared" si="23"/>
        <v>21</v>
      </c>
      <c r="O15" s="114">
        <f t="shared" si="15"/>
        <v>22</v>
      </c>
      <c r="P15" s="84">
        <f t="shared" si="16"/>
        <v>23</v>
      </c>
    </row>
    <row r="16" spans="2:19" x14ac:dyDescent="0.25">
      <c r="B16" s="55">
        <f>+H15+1</f>
        <v>27</v>
      </c>
      <c r="C16" s="81">
        <f t="shared" si="17"/>
        <v>28</v>
      </c>
      <c r="D16" s="57">
        <f t="shared" si="18"/>
        <v>29</v>
      </c>
      <c r="E16" s="81">
        <f t="shared" si="18"/>
        <v>30</v>
      </c>
      <c r="F16" s="57">
        <f t="shared" si="18"/>
        <v>31</v>
      </c>
      <c r="G16" s="77"/>
      <c r="H16" s="82"/>
      <c r="J16" s="55">
        <f>+P15+1</f>
        <v>24</v>
      </c>
      <c r="K16" s="56">
        <f t="shared" si="20"/>
        <v>25</v>
      </c>
      <c r="L16" s="57">
        <f t="shared" si="21"/>
        <v>26</v>
      </c>
      <c r="M16" s="56">
        <f t="shared" si="21"/>
        <v>27</v>
      </c>
      <c r="N16" s="57">
        <f t="shared" si="23"/>
        <v>28</v>
      </c>
      <c r="O16" s="57">
        <f t="shared" si="15"/>
        <v>29</v>
      </c>
      <c r="P16" s="58"/>
    </row>
    <row r="18" spans="2:19" ht="15.75" x14ac:dyDescent="0.25">
      <c r="B18" s="207" t="s">
        <v>643</v>
      </c>
      <c r="C18" s="208"/>
      <c r="D18" s="208"/>
      <c r="E18" s="208"/>
      <c r="F18" s="208"/>
      <c r="G18" s="208"/>
      <c r="H18" s="209"/>
      <c r="J18" s="207" t="s">
        <v>644</v>
      </c>
      <c r="K18" s="208"/>
      <c r="L18" s="208"/>
      <c r="M18" s="208"/>
      <c r="N18" s="208"/>
      <c r="O18" s="208"/>
      <c r="P18" s="209"/>
      <c r="S18" s="45" t="s">
        <v>619</v>
      </c>
    </row>
    <row r="19" spans="2:19" ht="15.75" customHeight="1" x14ac:dyDescent="0.25">
      <c r="B19" s="72" t="s">
        <v>635</v>
      </c>
      <c r="C19" s="73" t="s">
        <v>636</v>
      </c>
      <c r="D19" s="73" t="s">
        <v>637</v>
      </c>
      <c r="E19" s="73" t="s">
        <v>638</v>
      </c>
      <c r="F19" s="73" t="s">
        <v>639</v>
      </c>
      <c r="G19" s="73" t="s">
        <v>640</v>
      </c>
      <c r="H19" s="74" t="s">
        <v>641</v>
      </c>
      <c r="J19" s="46" t="s">
        <v>635</v>
      </c>
      <c r="K19" s="47" t="s">
        <v>636</v>
      </c>
      <c r="L19" s="47" t="s">
        <v>637</v>
      </c>
      <c r="M19" s="47" t="s">
        <v>638</v>
      </c>
      <c r="N19" s="47" t="s">
        <v>639</v>
      </c>
      <c r="O19" s="47" t="s">
        <v>640</v>
      </c>
      <c r="P19" s="48" t="s">
        <v>641</v>
      </c>
      <c r="S19" s="49" t="s">
        <v>642</v>
      </c>
    </row>
    <row r="20" spans="2:19" x14ac:dyDescent="0.25">
      <c r="B20" s="116"/>
      <c r="C20" s="155"/>
      <c r="D20" s="117"/>
      <c r="E20" s="155"/>
      <c r="F20" s="117"/>
      <c r="G20" s="117"/>
      <c r="H20" s="149">
        <f t="shared" ref="H20:H23" si="24">+G20+1</f>
        <v>1</v>
      </c>
      <c r="J20" s="156"/>
      <c r="K20" s="162"/>
      <c r="L20" s="162">
        <f t="shared" ref="L20:L23" si="25">+K20+1</f>
        <v>1</v>
      </c>
      <c r="M20" s="161">
        <f t="shared" ref="M20:M23" si="26">+L20+1</f>
        <v>2</v>
      </c>
      <c r="N20" s="162">
        <f t="shared" ref="N20:N23" si="27">+M20+1</f>
        <v>3</v>
      </c>
      <c r="O20" s="162">
        <f t="shared" ref="O20:O23" si="28">+N20+1</f>
        <v>4</v>
      </c>
      <c r="P20" s="151">
        <f t="shared" ref="P20:P23" si="29">+O20+1</f>
        <v>5</v>
      </c>
    </row>
    <row r="21" spans="2:19" ht="15.75" customHeight="1" x14ac:dyDescent="0.25">
      <c r="B21" s="53">
        <f>+H20+1</f>
        <v>2</v>
      </c>
      <c r="C21" s="113">
        <f t="shared" ref="C21:C25" si="30">+B21+1</f>
        <v>3</v>
      </c>
      <c r="D21" s="114">
        <f t="shared" ref="D21:D24" si="31">+C21+1</f>
        <v>4</v>
      </c>
      <c r="E21" s="113">
        <f t="shared" ref="E21:E24" si="32">+D21+1</f>
        <v>5</v>
      </c>
      <c r="F21" s="114">
        <f t="shared" ref="E21:F23" si="33">+E21+1</f>
        <v>6</v>
      </c>
      <c r="G21" s="114">
        <f t="shared" ref="G21:G23" si="34">+F21+1</f>
        <v>7</v>
      </c>
      <c r="H21" s="84">
        <f t="shared" si="24"/>
        <v>8</v>
      </c>
      <c r="J21" s="152">
        <f>+P20+1</f>
        <v>6</v>
      </c>
      <c r="K21" s="162">
        <f t="shared" ref="K21:M24" si="35">+J21+1</f>
        <v>7</v>
      </c>
      <c r="L21" s="161">
        <f t="shared" si="25"/>
        <v>8</v>
      </c>
      <c r="M21" s="162">
        <f t="shared" si="26"/>
        <v>9</v>
      </c>
      <c r="N21" s="161">
        <f t="shared" si="27"/>
        <v>10</v>
      </c>
      <c r="O21" s="161">
        <f t="shared" si="28"/>
        <v>11</v>
      </c>
      <c r="P21" s="151">
        <f t="shared" si="29"/>
        <v>12</v>
      </c>
    </row>
    <row r="22" spans="2:19" x14ac:dyDescent="0.25">
      <c r="B22" s="54">
        <f>+H21+1</f>
        <v>9</v>
      </c>
      <c r="C22" s="114">
        <f t="shared" si="30"/>
        <v>10</v>
      </c>
      <c r="D22" s="113">
        <f t="shared" si="31"/>
        <v>11</v>
      </c>
      <c r="E22" s="114">
        <f t="shared" si="32"/>
        <v>12</v>
      </c>
      <c r="F22" s="113">
        <f t="shared" si="33"/>
        <v>13</v>
      </c>
      <c r="G22" s="113">
        <f t="shared" si="34"/>
        <v>14</v>
      </c>
      <c r="H22" s="84">
        <f t="shared" si="24"/>
        <v>15</v>
      </c>
      <c r="J22" s="156">
        <f>+P21+1</f>
        <v>13</v>
      </c>
      <c r="K22" s="161">
        <f t="shared" si="35"/>
        <v>14</v>
      </c>
      <c r="L22" s="162">
        <f t="shared" si="25"/>
        <v>15</v>
      </c>
      <c r="M22" s="161">
        <f t="shared" si="26"/>
        <v>16</v>
      </c>
      <c r="N22" s="162">
        <f t="shared" si="27"/>
        <v>17</v>
      </c>
      <c r="O22" s="162">
        <f t="shared" si="28"/>
        <v>18</v>
      </c>
      <c r="P22" s="151">
        <f t="shared" si="29"/>
        <v>19</v>
      </c>
    </row>
    <row r="23" spans="2:19" x14ac:dyDescent="0.25">
      <c r="B23" s="156">
        <f>+H22+1</f>
        <v>16</v>
      </c>
      <c r="C23" s="161">
        <f t="shared" si="30"/>
        <v>17</v>
      </c>
      <c r="D23" s="162">
        <f t="shared" si="31"/>
        <v>18</v>
      </c>
      <c r="E23" s="161">
        <f t="shared" si="33"/>
        <v>19</v>
      </c>
      <c r="F23" s="162">
        <f t="shared" si="33"/>
        <v>20</v>
      </c>
      <c r="G23" s="162">
        <f t="shared" si="34"/>
        <v>21</v>
      </c>
      <c r="H23" s="151">
        <f t="shared" si="24"/>
        <v>22</v>
      </c>
      <c r="J23" s="156">
        <f>+P22+1</f>
        <v>20</v>
      </c>
      <c r="K23" s="161">
        <f t="shared" si="35"/>
        <v>21</v>
      </c>
      <c r="L23" s="162">
        <f t="shared" si="25"/>
        <v>22</v>
      </c>
      <c r="M23" s="161">
        <f t="shared" si="26"/>
        <v>23</v>
      </c>
      <c r="N23" s="162">
        <f t="shared" si="27"/>
        <v>24</v>
      </c>
      <c r="O23" s="162">
        <f t="shared" si="28"/>
        <v>25</v>
      </c>
      <c r="P23" s="151">
        <f t="shared" si="29"/>
        <v>26</v>
      </c>
    </row>
    <row r="24" spans="2:19" x14ac:dyDescent="0.25">
      <c r="B24" s="156">
        <f>+H23+1</f>
        <v>23</v>
      </c>
      <c r="C24" s="161">
        <f t="shared" si="30"/>
        <v>24</v>
      </c>
      <c r="D24" s="162">
        <f t="shared" si="31"/>
        <v>25</v>
      </c>
      <c r="E24" s="161">
        <f t="shared" si="32"/>
        <v>26</v>
      </c>
      <c r="F24" s="162">
        <f t="shared" ref="F24" si="36">+E24+1</f>
        <v>27</v>
      </c>
      <c r="G24" s="162">
        <f t="shared" ref="G24" si="37">+F24+1</f>
        <v>28</v>
      </c>
      <c r="H24" s="151">
        <f t="shared" ref="H24" si="38">+G24+1</f>
        <v>29</v>
      </c>
      <c r="J24" s="159">
        <f>+P23+1</f>
        <v>27</v>
      </c>
      <c r="K24" s="154">
        <f t="shared" si="35"/>
        <v>28</v>
      </c>
      <c r="L24" s="158">
        <f t="shared" si="35"/>
        <v>29</v>
      </c>
      <c r="M24" s="154">
        <f t="shared" si="35"/>
        <v>30</v>
      </c>
      <c r="N24" s="158"/>
      <c r="O24" s="158"/>
      <c r="P24" s="160"/>
    </row>
    <row r="25" spans="2:19" x14ac:dyDescent="0.25">
      <c r="B25" s="159">
        <f>+H24+1</f>
        <v>30</v>
      </c>
      <c r="C25" s="154">
        <f t="shared" si="30"/>
        <v>31</v>
      </c>
      <c r="D25" s="122"/>
      <c r="E25" s="122"/>
      <c r="F25" s="122"/>
      <c r="G25" s="122"/>
      <c r="H25" s="160"/>
    </row>
    <row r="27" spans="2:19" ht="15.75" x14ac:dyDescent="0.25">
      <c r="B27" s="207" t="s">
        <v>645</v>
      </c>
      <c r="C27" s="208"/>
      <c r="D27" s="208"/>
      <c r="E27" s="208"/>
      <c r="F27" s="208"/>
      <c r="G27" s="208"/>
      <c r="H27" s="209"/>
      <c r="J27" s="207" t="s">
        <v>646</v>
      </c>
      <c r="K27" s="208"/>
      <c r="L27" s="208"/>
      <c r="M27" s="208"/>
      <c r="N27" s="208"/>
      <c r="O27" s="208"/>
      <c r="P27" s="209"/>
      <c r="S27" s="45" t="s">
        <v>619</v>
      </c>
    </row>
    <row r="28" spans="2:19" ht="15.75" customHeight="1" x14ac:dyDescent="0.25">
      <c r="B28" s="46" t="s">
        <v>635</v>
      </c>
      <c r="C28" s="47" t="s">
        <v>636</v>
      </c>
      <c r="D28" s="47" t="s">
        <v>637</v>
      </c>
      <c r="E28" s="47" t="s">
        <v>638</v>
      </c>
      <c r="F28" s="47" t="s">
        <v>639</v>
      </c>
      <c r="G28" s="47" t="s">
        <v>640</v>
      </c>
      <c r="H28" s="48" t="s">
        <v>641</v>
      </c>
      <c r="J28" s="46" t="s">
        <v>635</v>
      </c>
      <c r="K28" s="47" t="s">
        <v>636</v>
      </c>
      <c r="L28" s="47" t="s">
        <v>637</v>
      </c>
      <c r="M28" s="47" t="s">
        <v>638</v>
      </c>
      <c r="N28" s="47" t="s">
        <v>639</v>
      </c>
      <c r="O28" s="47" t="s">
        <v>640</v>
      </c>
      <c r="P28" s="48" t="s">
        <v>641</v>
      </c>
      <c r="S28" s="49" t="s">
        <v>642</v>
      </c>
    </row>
    <row r="29" spans="2:19" ht="15.75" customHeight="1" x14ac:dyDescent="0.25">
      <c r="B29" s="116"/>
      <c r="C29" s="155"/>
      <c r="D29" s="155"/>
      <c r="E29" s="117"/>
      <c r="F29" s="155">
        <f t="shared" ref="F29:H33" si="39">+E29+1</f>
        <v>1</v>
      </c>
      <c r="G29" s="155">
        <f t="shared" ref="G29:G32" si="40">+F29+1</f>
        <v>2</v>
      </c>
      <c r="H29" s="149">
        <f t="shared" ref="H29:H32" si="41">+G29+1</f>
        <v>3</v>
      </c>
      <c r="J29" s="54">
        <v>1</v>
      </c>
      <c r="K29" s="114">
        <f t="shared" ref="K29" si="42">+J29+1</f>
        <v>2</v>
      </c>
      <c r="L29" s="113">
        <f t="shared" ref="L29" si="43">+K29+1</f>
        <v>3</v>
      </c>
      <c r="M29" s="114">
        <f t="shared" ref="M29" si="44">+L29+1</f>
        <v>4</v>
      </c>
      <c r="N29" s="113">
        <f t="shared" ref="N29" si="45">+M29+1</f>
        <v>5</v>
      </c>
      <c r="O29" s="113">
        <f t="shared" ref="O29:O32" si="46">+N29+1</f>
        <v>6</v>
      </c>
      <c r="P29" s="84">
        <f t="shared" ref="P29:P32" si="47">+O29+1</f>
        <v>7</v>
      </c>
    </row>
    <row r="30" spans="2:19" x14ac:dyDescent="0.25">
      <c r="B30" s="152">
        <f>+H29+1</f>
        <v>4</v>
      </c>
      <c r="C30" s="162">
        <f t="shared" ref="C30:C33" si="48">+B30+1</f>
        <v>5</v>
      </c>
      <c r="D30" s="161">
        <f t="shared" ref="D30:D33" si="49">+C30+1</f>
        <v>6</v>
      </c>
      <c r="E30" s="162">
        <f t="shared" ref="E30:E33" si="50">+D30+1</f>
        <v>7</v>
      </c>
      <c r="F30" s="161">
        <f t="shared" si="39"/>
        <v>8</v>
      </c>
      <c r="G30" s="161">
        <f t="shared" si="40"/>
        <v>9</v>
      </c>
      <c r="H30" s="151">
        <f t="shared" si="41"/>
        <v>10</v>
      </c>
      <c r="J30" s="75">
        <f>+P29+1</f>
        <v>8</v>
      </c>
      <c r="K30" s="57">
        <f t="shared" ref="K30:K33" si="51">+J30+1</f>
        <v>9</v>
      </c>
      <c r="L30" s="56">
        <f t="shared" ref="L30:L33" si="52">+K30+1</f>
        <v>10</v>
      </c>
      <c r="M30" s="57">
        <f t="shared" ref="M30:M32" si="53">+L30+1</f>
        <v>11</v>
      </c>
      <c r="N30" s="56">
        <f t="shared" ref="N30:N32" si="54">+M30+1</f>
        <v>12</v>
      </c>
      <c r="O30" s="56">
        <f t="shared" si="46"/>
        <v>13</v>
      </c>
      <c r="P30" s="199">
        <f t="shared" si="47"/>
        <v>14</v>
      </c>
    </row>
    <row r="31" spans="2:19" x14ac:dyDescent="0.25">
      <c r="B31" s="156">
        <f>+H30+1</f>
        <v>11</v>
      </c>
      <c r="C31" s="161">
        <f t="shared" si="48"/>
        <v>12</v>
      </c>
      <c r="D31" s="162">
        <f t="shared" si="49"/>
        <v>13</v>
      </c>
      <c r="E31" s="161">
        <f t="shared" si="50"/>
        <v>14</v>
      </c>
      <c r="F31" s="162">
        <f t="shared" si="39"/>
        <v>15</v>
      </c>
      <c r="G31" s="162">
        <f t="shared" si="40"/>
        <v>16</v>
      </c>
      <c r="H31" s="151">
        <f t="shared" si="41"/>
        <v>17</v>
      </c>
      <c r="J31" s="54">
        <f>+P30+1</f>
        <v>15</v>
      </c>
      <c r="K31" s="114">
        <f t="shared" si="51"/>
        <v>16</v>
      </c>
      <c r="L31" s="113">
        <f t="shared" si="52"/>
        <v>17</v>
      </c>
      <c r="M31" s="114">
        <f t="shared" si="53"/>
        <v>18</v>
      </c>
      <c r="N31" s="113">
        <f t="shared" si="54"/>
        <v>19</v>
      </c>
      <c r="O31" s="113">
        <f t="shared" si="46"/>
        <v>20</v>
      </c>
      <c r="P31" s="84">
        <f t="shared" si="47"/>
        <v>21</v>
      </c>
    </row>
    <row r="32" spans="2:19" x14ac:dyDescent="0.25">
      <c r="B32" s="152">
        <f>+H31+1</f>
        <v>18</v>
      </c>
      <c r="C32" s="162">
        <f t="shared" si="48"/>
        <v>19</v>
      </c>
      <c r="D32" s="161">
        <f t="shared" si="49"/>
        <v>20</v>
      </c>
      <c r="E32" s="114">
        <f t="shared" si="50"/>
        <v>21</v>
      </c>
      <c r="F32" s="161">
        <f t="shared" si="39"/>
        <v>22</v>
      </c>
      <c r="G32" s="113">
        <f t="shared" si="40"/>
        <v>23</v>
      </c>
      <c r="H32" s="84">
        <f t="shared" si="41"/>
        <v>24</v>
      </c>
      <c r="J32" s="75">
        <f>+P31+1</f>
        <v>22</v>
      </c>
      <c r="K32" s="57">
        <f t="shared" si="51"/>
        <v>23</v>
      </c>
      <c r="L32" s="56">
        <f t="shared" si="52"/>
        <v>24</v>
      </c>
      <c r="M32" s="57">
        <f t="shared" si="53"/>
        <v>25</v>
      </c>
      <c r="N32" s="56">
        <f t="shared" si="54"/>
        <v>26</v>
      </c>
      <c r="O32" s="56">
        <f t="shared" si="46"/>
        <v>27</v>
      </c>
      <c r="P32" s="199">
        <f t="shared" si="47"/>
        <v>28</v>
      </c>
    </row>
    <row r="33" spans="2:19" x14ac:dyDescent="0.25">
      <c r="B33" s="75">
        <f>+H32+1</f>
        <v>25</v>
      </c>
      <c r="C33" s="57">
        <f t="shared" si="48"/>
        <v>26</v>
      </c>
      <c r="D33" s="56">
        <f t="shared" si="49"/>
        <v>27</v>
      </c>
      <c r="E33" s="57">
        <f t="shared" si="50"/>
        <v>28</v>
      </c>
      <c r="F33" s="56">
        <f t="shared" si="39"/>
        <v>29</v>
      </c>
      <c r="G33" s="56">
        <f t="shared" si="39"/>
        <v>30</v>
      </c>
      <c r="H33" s="199">
        <f t="shared" si="39"/>
        <v>31</v>
      </c>
      <c r="J33" s="55">
        <f>+P32+1</f>
        <v>29</v>
      </c>
      <c r="K33" s="56">
        <f t="shared" si="51"/>
        <v>30</v>
      </c>
      <c r="L33" s="57">
        <f t="shared" si="52"/>
        <v>31</v>
      </c>
      <c r="M33" s="158"/>
      <c r="N33" s="158"/>
      <c r="O33" s="158"/>
      <c r="P33" s="123"/>
    </row>
    <row r="35" spans="2:19" ht="15.75" x14ac:dyDescent="0.25">
      <c r="B35" s="207" t="s">
        <v>653</v>
      </c>
      <c r="C35" s="208"/>
      <c r="D35" s="208"/>
      <c r="E35" s="208"/>
      <c r="F35" s="208"/>
      <c r="G35" s="208"/>
      <c r="H35" s="209"/>
      <c r="J35" s="207" t="s">
        <v>654</v>
      </c>
      <c r="K35" s="208"/>
      <c r="L35" s="208"/>
      <c r="M35" s="208"/>
      <c r="N35" s="208"/>
      <c r="O35" s="208"/>
      <c r="P35" s="209"/>
      <c r="S35" s="45" t="s">
        <v>619</v>
      </c>
    </row>
    <row r="36" spans="2:19" x14ac:dyDescent="0.25">
      <c r="B36" s="46" t="s">
        <v>635</v>
      </c>
      <c r="C36" s="47" t="s">
        <v>636</v>
      </c>
      <c r="D36" s="47" t="s">
        <v>637</v>
      </c>
      <c r="E36" s="47" t="s">
        <v>638</v>
      </c>
      <c r="F36" s="47" t="s">
        <v>639</v>
      </c>
      <c r="G36" s="47" t="s">
        <v>640</v>
      </c>
      <c r="H36" s="48" t="s">
        <v>641</v>
      </c>
      <c r="J36" s="46" t="s">
        <v>635</v>
      </c>
      <c r="K36" s="47" t="s">
        <v>636</v>
      </c>
      <c r="L36" s="47" t="s">
        <v>637</v>
      </c>
      <c r="M36" s="47" t="s">
        <v>638</v>
      </c>
      <c r="N36" s="47" t="s">
        <v>639</v>
      </c>
      <c r="O36" s="47" t="s">
        <v>640</v>
      </c>
      <c r="P36" s="48" t="s">
        <v>641</v>
      </c>
      <c r="S36" s="49" t="s">
        <v>642</v>
      </c>
    </row>
    <row r="37" spans="2:19" ht="15.75" customHeight="1" x14ac:dyDescent="0.25">
      <c r="B37" s="116"/>
      <c r="C37" s="117"/>
      <c r="D37" s="117"/>
      <c r="E37" s="117">
        <f t="shared" ref="E37:E40" si="55">+D37+1</f>
        <v>1</v>
      </c>
      <c r="F37" s="117">
        <f t="shared" ref="F37:F40" si="56">+E37+1</f>
        <v>2</v>
      </c>
      <c r="G37" s="117">
        <f t="shared" ref="G37:G40" si="57">+F37+1</f>
        <v>3</v>
      </c>
      <c r="H37" s="149">
        <f t="shared" ref="H37:H40" si="58">+G37+1</f>
        <v>4</v>
      </c>
      <c r="J37" s="116"/>
      <c r="K37" s="155"/>
      <c r="L37" s="155"/>
      <c r="M37" s="155"/>
      <c r="N37" s="161"/>
      <c r="O37" s="161"/>
      <c r="P37" s="151">
        <f t="shared" ref="P37:P41" si="59">+O37+1</f>
        <v>1</v>
      </c>
    </row>
    <row r="38" spans="2:19" x14ac:dyDescent="0.25">
      <c r="B38" s="152">
        <f>+H37+1</f>
        <v>5</v>
      </c>
      <c r="C38" s="157">
        <f t="shared" ref="C38:C41" si="60">+B38+1</f>
        <v>6</v>
      </c>
      <c r="D38" s="157">
        <f t="shared" ref="D38:G41" si="61">+C38+1</f>
        <v>7</v>
      </c>
      <c r="E38" s="150">
        <f t="shared" si="55"/>
        <v>8</v>
      </c>
      <c r="F38" s="157">
        <f t="shared" si="56"/>
        <v>9</v>
      </c>
      <c r="G38" s="157">
        <f t="shared" si="57"/>
        <v>10</v>
      </c>
      <c r="H38" s="151">
        <f t="shared" si="58"/>
        <v>11</v>
      </c>
      <c r="J38" s="156">
        <f>+P37+1</f>
        <v>2</v>
      </c>
      <c r="K38" s="161">
        <f t="shared" ref="K38:K41" si="62">+J38+1</f>
        <v>3</v>
      </c>
      <c r="L38" s="162">
        <f t="shared" ref="L38:L41" si="63">+K38+1</f>
        <v>4</v>
      </c>
      <c r="M38" s="161">
        <f t="shared" ref="M38:M41" si="64">+L38+1</f>
        <v>5</v>
      </c>
      <c r="N38" s="162">
        <f t="shared" ref="N38:N41" si="65">+M38+1</f>
        <v>6</v>
      </c>
      <c r="O38" s="162">
        <f t="shared" ref="O38:O41" si="66">+N38+1</f>
        <v>7</v>
      </c>
      <c r="P38" s="151">
        <f t="shared" si="59"/>
        <v>8</v>
      </c>
    </row>
    <row r="39" spans="2:19" x14ac:dyDescent="0.25">
      <c r="B39" s="152">
        <f>+H38+1</f>
        <v>12</v>
      </c>
      <c r="C39" s="157">
        <f t="shared" si="60"/>
        <v>13</v>
      </c>
      <c r="D39" s="150">
        <f t="shared" si="61"/>
        <v>14</v>
      </c>
      <c r="E39" s="157">
        <f t="shared" si="55"/>
        <v>15</v>
      </c>
      <c r="F39" s="150">
        <f t="shared" si="56"/>
        <v>16</v>
      </c>
      <c r="G39" s="150">
        <f t="shared" si="57"/>
        <v>17</v>
      </c>
      <c r="H39" s="151">
        <f t="shared" si="58"/>
        <v>18</v>
      </c>
      <c r="J39" s="156">
        <f>+P38+1</f>
        <v>9</v>
      </c>
      <c r="K39" s="161">
        <f t="shared" si="62"/>
        <v>10</v>
      </c>
      <c r="L39" s="162">
        <f t="shared" si="63"/>
        <v>11</v>
      </c>
      <c r="M39" s="161">
        <f t="shared" si="64"/>
        <v>12</v>
      </c>
      <c r="N39" s="162">
        <f t="shared" si="65"/>
        <v>13</v>
      </c>
      <c r="O39" s="162">
        <f t="shared" si="66"/>
        <v>14</v>
      </c>
      <c r="P39" s="151">
        <f t="shared" si="59"/>
        <v>15</v>
      </c>
    </row>
    <row r="40" spans="2:19" x14ac:dyDescent="0.25">
      <c r="B40" s="156">
        <f>+H39+1</f>
        <v>19</v>
      </c>
      <c r="C40" s="150">
        <f t="shared" si="60"/>
        <v>20</v>
      </c>
      <c r="D40" s="157">
        <f t="shared" si="61"/>
        <v>21</v>
      </c>
      <c r="E40" s="150">
        <f t="shared" si="55"/>
        <v>22</v>
      </c>
      <c r="F40" s="157">
        <f t="shared" si="56"/>
        <v>23</v>
      </c>
      <c r="G40" s="157">
        <f t="shared" si="57"/>
        <v>24</v>
      </c>
      <c r="H40" s="151">
        <f t="shared" si="58"/>
        <v>25</v>
      </c>
      <c r="J40" s="156">
        <f>+P39+1</f>
        <v>16</v>
      </c>
      <c r="K40" s="161">
        <f t="shared" si="62"/>
        <v>17</v>
      </c>
      <c r="L40" s="162">
        <f t="shared" si="63"/>
        <v>18</v>
      </c>
      <c r="M40" s="161">
        <f t="shared" si="64"/>
        <v>19</v>
      </c>
      <c r="N40" s="162">
        <f t="shared" si="65"/>
        <v>20</v>
      </c>
      <c r="O40" s="162">
        <f t="shared" si="66"/>
        <v>21</v>
      </c>
      <c r="P40" s="151">
        <f t="shared" si="59"/>
        <v>22</v>
      </c>
    </row>
    <row r="41" spans="2:19" x14ac:dyDescent="0.25">
      <c r="B41" s="153">
        <f>+H40+1</f>
        <v>26</v>
      </c>
      <c r="C41" s="158">
        <f t="shared" si="60"/>
        <v>27</v>
      </c>
      <c r="D41" s="154">
        <f t="shared" si="61"/>
        <v>28</v>
      </c>
      <c r="E41" s="154">
        <f t="shared" si="61"/>
        <v>29</v>
      </c>
      <c r="F41" s="154">
        <f t="shared" si="61"/>
        <v>30</v>
      </c>
      <c r="G41" s="154">
        <f t="shared" si="61"/>
        <v>31</v>
      </c>
      <c r="H41" s="160"/>
      <c r="J41" s="156">
        <f>+P40+1</f>
        <v>23</v>
      </c>
      <c r="K41" s="161">
        <f t="shared" si="62"/>
        <v>24</v>
      </c>
      <c r="L41" s="162">
        <f t="shared" si="63"/>
        <v>25</v>
      </c>
      <c r="M41" s="161">
        <f t="shared" si="64"/>
        <v>26</v>
      </c>
      <c r="N41" s="162">
        <f t="shared" si="65"/>
        <v>27</v>
      </c>
      <c r="O41" s="162">
        <f t="shared" si="66"/>
        <v>28</v>
      </c>
      <c r="P41" s="151">
        <f t="shared" si="59"/>
        <v>29</v>
      </c>
    </row>
    <row r="42" spans="2:19" x14ac:dyDescent="0.25">
      <c r="J42" s="153">
        <f>+P41+1</f>
        <v>30</v>
      </c>
      <c r="K42" s="158">
        <f>+J42+1</f>
        <v>31</v>
      </c>
      <c r="L42" s="122"/>
      <c r="M42" s="122"/>
      <c r="N42" s="122"/>
      <c r="O42" s="122"/>
      <c r="P42" s="160"/>
    </row>
    <row r="44" spans="2:19" ht="15.75" x14ac:dyDescent="0.25">
      <c r="B44" s="207" t="s">
        <v>671</v>
      </c>
      <c r="C44" s="208"/>
      <c r="D44" s="208"/>
      <c r="E44" s="208"/>
      <c r="F44" s="208"/>
      <c r="G44" s="208"/>
      <c r="H44" s="209"/>
      <c r="J44" s="207" t="s">
        <v>672</v>
      </c>
      <c r="K44" s="208"/>
      <c r="L44" s="208"/>
      <c r="M44" s="208"/>
      <c r="N44" s="208"/>
      <c r="O44" s="208"/>
      <c r="P44" s="209"/>
      <c r="S44" s="45" t="s">
        <v>619</v>
      </c>
    </row>
    <row r="45" spans="2:19" x14ac:dyDescent="0.25">
      <c r="B45" s="72" t="s">
        <v>635</v>
      </c>
      <c r="C45" s="73" t="s">
        <v>636</v>
      </c>
      <c r="D45" s="73" t="s">
        <v>637</v>
      </c>
      <c r="E45" s="73" t="s">
        <v>638</v>
      </c>
      <c r="F45" s="73" t="s">
        <v>639</v>
      </c>
      <c r="G45" s="73" t="s">
        <v>640</v>
      </c>
      <c r="H45" s="74" t="s">
        <v>641</v>
      </c>
      <c r="J45" s="46" t="s">
        <v>635</v>
      </c>
      <c r="K45" s="47" t="s">
        <v>636</v>
      </c>
      <c r="L45" s="47" t="s">
        <v>637</v>
      </c>
      <c r="M45" s="47" t="s">
        <v>638</v>
      </c>
      <c r="N45" s="47" t="s">
        <v>639</v>
      </c>
      <c r="O45" s="47" t="s">
        <v>640</v>
      </c>
      <c r="P45" s="48" t="s">
        <v>641</v>
      </c>
      <c r="S45" s="49" t="s">
        <v>642</v>
      </c>
    </row>
    <row r="46" spans="2:19" ht="15.75" customHeight="1" x14ac:dyDescent="0.25">
      <c r="B46" s="116"/>
      <c r="C46" s="117"/>
      <c r="D46" s="117">
        <v>1</v>
      </c>
      <c r="E46" s="117">
        <f t="shared" ref="E46:G50" si="67">+D46+1</f>
        <v>2</v>
      </c>
      <c r="F46" s="117">
        <f t="shared" si="67"/>
        <v>3</v>
      </c>
      <c r="G46" s="117">
        <f t="shared" si="67"/>
        <v>4</v>
      </c>
      <c r="H46" s="149">
        <f t="shared" ref="H46:H49" si="68">+G46+1</f>
        <v>5</v>
      </c>
      <c r="J46" s="116"/>
      <c r="K46" s="155"/>
      <c r="L46" s="155">
        <f t="shared" ref="L46:M49" si="69">+K46+1</f>
        <v>1</v>
      </c>
      <c r="M46" s="155">
        <f t="shared" si="69"/>
        <v>2</v>
      </c>
      <c r="N46" s="155">
        <f t="shared" ref="N46:N49" si="70">+M46+1</f>
        <v>3</v>
      </c>
      <c r="O46" s="155">
        <f t="shared" ref="O46:O49" si="71">+N46+1</f>
        <v>4</v>
      </c>
      <c r="P46" s="149">
        <f t="shared" ref="P46:P49" si="72">+O46+1</f>
        <v>5</v>
      </c>
    </row>
    <row r="47" spans="2:19" x14ac:dyDescent="0.25">
      <c r="B47" s="156">
        <f>+H46+1</f>
        <v>6</v>
      </c>
      <c r="C47" s="161">
        <f t="shared" ref="C47:C50" si="73">+B47+1</f>
        <v>7</v>
      </c>
      <c r="D47" s="162">
        <f t="shared" ref="D47:D50" si="74">+C47+1</f>
        <v>8</v>
      </c>
      <c r="E47" s="161">
        <f t="shared" si="67"/>
        <v>9</v>
      </c>
      <c r="F47" s="162">
        <f t="shared" ref="F47:F49" si="75">+E47+1</f>
        <v>10</v>
      </c>
      <c r="G47" s="162">
        <f t="shared" ref="G47:G49" si="76">+F47+1</f>
        <v>11</v>
      </c>
      <c r="H47" s="151">
        <f t="shared" si="68"/>
        <v>12</v>
      </c>
      <c r="J47" s="156">
        <f>+P46+1</f>
        <v>6</v>
      </c>
      <c r="K47" s="162">
        <f t="shared" ref="K47:K49" si="77">+J47+1</f>
        <v>7</v>
      </c>
      <c r="L47" s="162">
        <f t="shared" ref="L47:L49" si="78">+K47+1</f>
        <v>8</v>
      </c>
      <c r="M47" s="162">
        <f t="shared" si="69"/>
        <v>9</v>
      </c>
      <c r="N47" s="162">
        <f t="shared" si="70"/>
        <v>10</v>
      </c>
      <c r="O47" s="162">
        <f t="shared" si="71"/>
        <v>11</v>
      </c>
      <c r="P47" s="151">
        <f t="shared" si="72"/>
        <v>12</v>
      </c>
    </row>
    <row r="48" spans="2:19" x14ac:dyDescent="0.25">
      <c r="B48" s="152">
        <f>+H47+1</f>
        <v>13</v>
      </c>
      <c r="C48" s="162">
        <f t="shared" si="73"/>
        <v>14</v>
      </c>
      <c r="D48" s="161">
        <f t="shared" si="74"/>
        <v>15</v>
      </c>
      <c r="E48" s="162">
        <f t="shared" si="67"/>
        <v>16</v>
      </c>
      <c r="F48" s="161">
        <f t="shared" si="75"/>
        <v>17</v>
      </c>
      <c r="G48" s="161">
        <f t="shared" si="76"/>
        <v>18</v>
      </c>
      <c r="H48" s="151">
        <f t="shared" si="68"/>
        <v>19</v>
      </c>
      <c r="J48" s="152">
        <f>+P47+1</f>
        <v>13</v>
      </c>
      <c r="K48" s="162">
        <f t="shared" si="77"/>
        <v>14</v>
      </c>
      <c r="L48" s="161">
        <f t="shared" si="78"/>
        <v>15</v>
      </c>
      <c r="M48" s="162">
        <f t="shared" si="69"/>
        <v>16</v>
      </c>
      <c r="N48" s="161">
        <f t="shared" si="70"/>
        <v>17</v>
      </c>
      <c r="O48" s="161">
        <f t="shared" si="71"/>
        <v>18</v>
      </c>
      <c r="P48" s="151">
        <f t="shared" si="72"/>
        <v>19</v>
      </c>
    </row>
    <row r="49" spans="2:19" x14ac:dyDescent="0.25">
      <c r="B49" s="156">
        <f>+H48+1</f>
        <v>20</v>
      </c>
      <c r="C49" s="161">
        <f t="shared" si="73"/>
        <v>21</v>
      </c>
      <c r="D49" s="162">
        <f t="shared" si="74"/>
        <v>22</v>
      </c>
      <c r="E49" s="161">
        <f t="shared" si="67"/>
        <v>23</v>
      </c>
      <c r="F49" s="162">
        <f t="shared" si="75"/>
        <v>24</v>
      </c>
      <c r="G49" s="162">
        <f t="shared" si="76"/>
        <v>25</v>
      </c>
      <c r="H49" s="151">
        <f t="shared" si="68"/>
        <v>26</v>
      </c>
      <c r="J49" s="156">
        <f>+P48+1</f>
        <v>20</v>
      </c>
      <c r="K49" s="162">
        <f t="shared" si="77"/>
        <v>21</v>
      </c>
      <c r="L49" s="162">
        <f t="shared" si="78"/>
        <v>22</v>
      </c>
      <c r="M49" s="162">
        <f t="shared" si="69"/>
        <v>23</v>
      </c>
      <c r="N49" s="162">
        <f t="shared" si="70"/>
        <v>24</v>
      </c>
      <c r="O49" s="162">
        <f t="shared" si="71"/>
        <v>25</v>
      </c>
      <c r="P49" s="151">
        <f t="shared" si="72"/>
        <v>26</v>
      </c>
    </row>
    <row r="50" spans="2:19" x14ac:dyDescent="0.25">
      <c r="B50" s="153">
        <f>+H49+1</f>
        <v>27</v>
      </c>
      <c r="C50" s="154">
        <f t="shared" si="73"/>
        <v>28</v>
      </c>
      <c r="D50" s="154">
        <f t="shared" si="74"/>
        <v>29</v>
      </c>
      <c r="E50" s="154">
        <f t="shared" si="67"/>
        <v>30</v>
      </c>
      <c r="F50" s="154"/>
      <c r="G50" s="154"/>
      <c r="H50" s="123"/>
      <c r="J50" s="159">
        <f>+P49+1</f>
        <v>27</v>
      </c>
      <c r="K50" s="154">
        <f>+J50+1</f>
        <v>28</v>
      </c>
      <c r="L50" s="158">
        <f>+K50+1</f>
        <v>29</v>
      </c>
      <c r="M50" s="154">
        <f>+L50+1</f>
        <v>30</v>
      </c>
      <c r="N50" s="154">
        <f>+M50+1</f>
        <v>31</v>
      </c>
      <c r="O50" s="122"/>
      <c r="P50" s="160"/>
    </row>
    <row r="52" spans="2:19" ht="15.75" x14ac:dyDescent="0.25">
      <c r="B52" s="207" t="s">
        <v>692</v>
      </c>
      <c r="C52" s="208"/>
      <c r="D52" s="208"/>
      <c r="E52" s="208"/>
      <c r="F52" s="208"/>
      <c r="G52" s="208"/>
      <c r="H52" s="209"/>
      <c r="J52" s="207" t="s">
        <v>693</v>
      </c>
      <c r="K52" s="208"/>
      <c r="L52" s="208"/>
      <c r="M52" s="208"/>
      <c r="N52" s="208"/>
      <c r="O52" s="208"/>
      <c r="P52" s="209"/>
      <c r="S52" s="45" t="s">
        <v>619</v>
      </c>
    </row>
    <row r="53" spans="2:19" x14ac:dyDescent="0.25">
      <c r="B53" s="72" t="s">
        <v>635</v>
      </c>
      <c r="C53" s="73" t="s">
        <v>636</v>
      </c>
      <c r="D53" s="73" t="s">
        <v>637</v>
      </c>
      <c r="E53" s="73" t="s">
        <v>638</v>
      </c>
      <c r="F53" s="73" t="s">
        <v>639</v>
      </c>
      <c r="G53" s="73" t="s">
        <v>640</v>
      </c>
      <c r="H53" s="74" t="s">
        <v>641</v>
      </c>
      <c r="J53" s="72" t="s">
        <v>635</v>
      </c>
      <c r="K53" s="73" t="s">
        <v>636</v>
      </c>
      <c r="L53" s="73" t="s">
        <v>637</v>
      </c>
      <c r="M53" s="73" t="s">
        <v>638</v>
      </c>
      <c r="N53" s="73" t="s">
        <v>639</v>
      </c>
      <c r="O53" s="73" t="s">
        <v>640</v>
      </c>
      <c r="P53" s="74" t="s">
        <v>641</v>
      </c>
      <c r="S53" s="49" t="s">
        <v>642</v>
      </c>
    </row>
    <row r="54" spans="2:19" x14ac:dyDescent="0.25">
      <c r="B54" s="116"/>
      <c r="C54" s="117"/>
      <c r="D54" s="117"/>
      <c r="E54" s="117"/>
      <c r="F54" s="155"/>
      <c r="G54" s="155">
        <f t="shared" ref="G54:G58" si="79">+F54+1</f>
        <v>1</v>
      </c>
      <c r="H54" s="149">
        <f t="shared" ref="H54:H58" si="80">+G54+1</f>
        <v>2</v>
      </c>
      <c r="J54" s="116">
        <v>1</v>
      </c>
      <c r="K54" s="155">
        <f t="shared" ref="K54" si="81">+J54+1</f>
        <v>2</v>
      </c>
      <c r="L54" s="117">
        <f t="shared" ref="L54" si="82">+K54+1</f>
        <v>3</v>
      </c>
      <c r="M54" s="155">
        <f t="shared" ref="M54" si="83">+L54+1</f>
        <v>4</v>
      </c>
      <c r="N54" s="117">
        <f t="shared" ref="N54" si="84">+M54+1</f>
        <v>5</v>
      </c>
      <c r="O54" s="117">
        <f t="shared" ref="O54" si="85">+N54+1</f>
        <v>6</v>
      </c>
      <c r="P54" s="149">
        <f t="shared" ref="P54:P57" si="86">+O54+1</f>
        <v>7</v>
      </c>
    </row>
    <row r="55" spans="2:19" ht="15.75" customHeight="1" x14ac:dyDescent="0.25">
      <c r="B55" s="152">
        <f>+H54+1</f>
        <v>3</v>
      </c>
      <c r="C55" s="162">
        <f t="shared" ref="C55:C58" si="87">+B55+1</f>
        <v>4</v>
      </c>
      <c r="D55" s="161">
        <f t="shared" ref="D55:D58" si="88">+C55+1</f>
        <v>5</v>
      </c>
      <c r="E55" s="162">
        <f t="shared" ref="E55:E58" si="89">+D55+1</f>
        <v>6</v>
      </c>
      <c r="F55" s="161">
        <f t="shared" ref="F55:F58" si="90">+E55+1</f>
        <v>7</v>
      </c>
      <c r="G55" s="161">
        <f t="shared" si="79"/>
        <v>8</v>
      </c>
      <c r="H55" s="151">
        <f t="shared" si="80"/>
        <v>9</v>
      </c>
      <c r="J55" s="152">
        <f>+P54+1</f>
        <v>8</v>
      </c>
      <c r="K55" s="162">
        <f t="shared" ref="K55:K58" si="91">+J55+1</f>
        <v>9</v>
      </c>
      <c r="L55" s="161">
        <f t="shared" ref="L55:L58" si="92">+K55+1</f>
        <v>10</v>
      </c>
      <c r="M55" s="162">
        <f t="shared" ref="M55:M57" si="93">+L55+1</f>
        <v>11</v>
      </c>
      <c r="N55" s="161">
        <f t="shared" ref="N55:N57" si="94">+M55+1</f>
        <v>12</v>
      </c>
      <c r="O55" s="161">
        <f t="shared" ref="O55:O57" si="95">+N55+1</f>
        <v>13</v>
      </c>
      <c r="P55" s="151">
        <f t="shared" si="86"/>
        <v>14</v>
      </c>
    </row>
    <row r="56" spans="2:19" x14ac:dyDescent="0.25">
      <c r="B56" s="156">
        <f>+H55+1</f>
        <v>10</v>
      </c>
      <c r="C56" s="161">
        <f t="shared" si="87"/>
        <v>11</v>
      </c>
      <c r="D56" s="162">
        <f t="shared" si="88"/>
        <v>12</v>
      </c>
      <c r="E56" s="161">
        <f t="shared" si="89"/>
        <v>13</v>
      </c>
      <c r="F56" s="162">
        <f t="shared" si="90"/>
        <v>14</v>
      </c>
      <c r="G56" s="162">
        <f t="shared" si="79"/>
        <v>15</v>
      </c>
      <c r="H56" s="151">
        <f t="shared" si="80"/>
        <v>16</v>
      </c>
      <c r="J56" s="156">
        <f>+P55+1</f>
        <v>15</v>
      </c>
      <c r="K56" s="161">
        <f t="shared" si="91"/>
        <v>16</v>
      </c>
      <c r="L56" s="162">
        <f t="shared" si="92"/>
        <v>17</v>
      </c>
      <c r="M56" s="161">
        <f t="shared" si="93"/>
        <v>18</v>
      </c>
      <c r="N56" s="162">
        <f t="shared" si="94"/>
        <v>19</v>
      </c>
      <c r="O56" s="162">
        <f t="shared" si="95"/>
        <v>20</v>
      </c>
      <c r="P56" s="151">
        <f t="shared" si="86"/>
        <v>21</v>
      </c>
    </row>
    <row r="57" spans="2:19" x14ac:dyDescent="0.25">
      <c r="B57" s="152">
        <f>+H56+1</f>
        <v>17</v>
      </c>
      <c r="C57" s="162">
        <f t="shared" si="87"/>
        <v>18</v>
      </c>
      <c r="D57" s="161">
        <f t="shared" si="88"/>
        <v>19</v>
      </c>
      <c r="E57" s="162">
        <f t="shared" si="89"/>
        <v>20</v>
      </c>
      <c r="F57" s="161">
        <f t="shared" si="90"/>
        <v>21</v>
      </c>
      <c r="G57" s="161">
        <f t="shared" si="79"/>
        <v>22</v>
      </c>
      <c r="H57" s="151">
        <f t="shared" si="80"/>
        <v>23</v>
      </c>
      <c r="J57" s="152">
        <f>+P56+1</f>
        <v>22</v>
      </c>
      <c r="K57" s="162">
        <f t="shared" si="91"/>
        <v>23</v>
      </c>
      <c r="L57" s="161">
        <f t="shared" si="92"/>
        <v>24</v>
      </c>
      <c r="M57" s="162">
        <f t="shared" si="93"/>
        <v>25</v>
      </c>
      <c r="N57" s="161">
        <f t="shared" si="94"/>
        <v>26</v>
      </c>
      <c r="O57" s="161">
        <f t="shared" si="95"/>
        <v>27</v>
      </c>
      <c r="P57" s="151">
        <f t="shared" si="86"/>
        <v>28</v>
      </c>
    </row>
    <row r="58" spans="2:19" x14ac:dyDescent="0.25">
      <c r="B58" s="159">
        <f>+H57+1</f>
        <v>24</v>
      </c>
      <c r="C58" s="154">
        <f t="shared" si="87"/>
        <v>25</v>
      </c>
      <c r="D58" s="158">
        <f t="shared" si="88"/>
        <v>26</v>
      </c>
      <c r="E58" s="154">
        <f t="shared" si="89"/>
        <v>27</v>
      </c>
      <c r="F58" s="158">
        <f t="shared" si="90"/>
        <v>28</v>
      </c>
      <c r="G58" s="158">
        <f t="shared" si="79"/>
        <v>29</v>
      </c>
      <c r="H58" s="123">
        <f t="shared" si="80"/>
        <v>30</v>
      </c>
      <c r="J58" s="159">
        <f>+P57+1</f>
        <v>29</v>
      </c>
      <c r="K58" s="158">
        <f t="shared" si="91"/>
        <v>30</v>
      </c>
      <c r="L58" s="158">
        <f t="shared" si="92"/>
        <v>31</v>
      </c>
      <c r="M58" s="158"/>
      <c r="N58" s="158"/>
      <c r="O58" s="158"/>
      <c r="P58" s="123"/>
    </row>
  </sheetData>
  <mergeCells count="14">
    <mergeCell ref="B52:H52"/>
    <mergeCell ref="J52:P52"/>
    <mergeCell ref="B1:H1"/>
    <mergeCell ref="J1:P1"/>
    <mergeCell ref="B10:H10"/>
    <mergeCell ref="J10:P10"/>
    <mergeCell ref="B18:H18"/>
    <mergeCell ref="J18:P18"/>
    <mergeCell ref="B44:H44"/>
    <mergeCell ref="J44:P44"/>
    <mergeCell ref="B35:H35"/>
    <mergeCell ref="J35:P35"/>
    <mergeCell ref="B27:H27"/>
    <mergeCell ref="J27:P2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Historico</vt:lpstr>
      <vt:lpstr>Movimientos</vt:lpstr>
      <vt:lpstr>Resultados</vt:lpstr>
      <vt:lpstr>Boletos</vt:lpstr>
      <vt:lpstr>Apuestas</vt:lpstr>
      <vt:lpstr>Metodos</vt:lpstr>
      <vt:lpstr>MisApuestas</vt:lpstr>
      <vt:lpstr>Salida</vt:lpstr>
      <vt:lpstr>Calendario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Carlos Almela Baeza</dc:creator>
  <cp:keywords/>
  <dc:description/>
  <cp:lastModifiedBy>Carlos Almela Baeza</cp:lastModifiedBy>
  <cp:revision/>
  <dcterms:created xsi:type="dcterms:W3CDTF">2018-09-16T20:37:59Z</dcterms:created>
  <dcterms:modified xsi:type="dcterms:W3CDTF">2020-05-19T17:22:49Z</dcterms:modified>
  <cp:category/>
  <cp:contentStatus/>
</cp:coreProperties>
</file>